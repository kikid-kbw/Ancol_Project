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"/>
    </mc:Choice>
  </mc:AlternateContent>
  <xr:revisionPtr revIDLastSave="0" documentId="13_ncr:1_{C0C1B6AB-B7B7-4E40-8AB0-FB7CD947A4C5}" xr6:coauthVersionLast="47" xr6:coauthVersionMax="47" xr10:uidLastSave="{00000000-0000-0000-0000-000000000000}"/>
  <bookViews>
    <workbookView xWindow="9585" yWindow="1635" windowWidth="13575" windowHeight="8535" xr2:uid="{00000000-000D-0000-FFFF-FFFF00000000}"/>
  </bookViews>
  <sheets>
    <sheet name="Chesklist" sheetId="8" r:id="rId1"/>
    <sheet name="Datum_Sunda_Kelapa_Summary" sheetId="9" r:id="rId2"/>
    <sheet name="Sheet1" sheetId="11" r:id="rId3"/>
    <sheet name="Weibull" sheetId="6" r:id="rId4"/>
    <sheet name="wind_conditioned_on_wave_design" sheetId="7" r:id="rId5"/>
    <sheet name="Tidal_Datum_Eng" sheetId="10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" i="11" l="1"/>
  <c r="N22" i="11" s="1"/>
  <c r="M21" i="11"/>
  <c r="M22" i="11" s="1"/>
  <c r="L21" i="11"/>
  <c r="L22" i="11" s="1"/>
  <c r="H25" i="9"/>
  <c r="I25" i="9"/>
  <c r="J25" i="9"/>
  <c r="H26" i="9"/>
  <c r="I26" i="9"/>
  <c r="J26" i="9"/>
  <c r="B21" i="9"/>
  <c r="E10" i="9"/>
  <c r="E11" i="9"/>
  <c r="E12" i="9"/>
  <c r="E13" i="9"/>
  <c r="E14" i="9"/>
  <c r="E15" i="9"/>
  <c r="E16" i="9"/>
  <c r="E17" i="9"/>
  <c r="E9" i="9"/>
  <c r="G20" i="10"/>
  <c r="F15" i="9" l="1"/>
  <c r="F14" i="9"/>
  <c r="F17" i="9"/>
  <c r="F12" i="9"/>
  <c r="F11" i="9"/>
  <c r="F10" i="9"/>
  <c r="F9" i="9"/>
  <c r="F16" i="9"/>
  <c r="F13" i="9"/>
  <c r="G19" i="10"/>
  <c r="G18" i="10"/>
  <c r="G17" i="10"/>
  <c r="G24" i="10"/>
  <c r="G16" i="10"/>
  <c r="G23" i="10"/>
  <c r="G22" i="10"/>
  <c r="G21" i="10"/>
  <c r="E34" i="9" l="1"/>
  <c r="E35" i="9" s="1"/>
  <c r="E25" i="9"/>
  <c r="C25" i="9"/>
  <c r="D34" i="9"/>
  <c r="D35" i="9" s="1"/>
  <c r="C34" i="9"/>
  <c r="C35" i="9" s="1"/>
  <c r="D25" i="9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" i="8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D26" i="9" l="1"/>
  <c r="I3" i="8"/>
  <c r="C26" i="9"/>
  <c r="I2" i="8"/>
  <c r="E26" i="9"/>
  <c r="I4" i="8"/>
  <c r="J2" i="8" l="1"/>
  <c r="J4" i="8"/>
  <c r="J3" i="8"/>
</calcChain>
</file>

<file path=xl/sharedStrings.xml><?xml version="1.0" encoding="utf-8"?>
<sst xmlns="http://schemas.openxmlformats.org/spreadsheetml/2006/main" count="291" uniqueCount="88">
  <si>
    <t>sector</t>
  </si>
  <si>
    <t>rp_year</t>
  </si>
  <si>
    <t>Hs_m</t>
  </si>
  <si>
    <t>Pp1d_s</t>
  </si>
  <si>
    <t>direction_deg</t>
  </si>
  <si>
    <t>E</t>
  </si>
  <si>
    <t>ENE</t>
  </si>
  <si>
    <t>NW</t>
  </si>
  <si>
    <t>W</t>
  </si>
  <si>
    <t>WNW</t>
  </si>
  <si>
    <t>NNW</t>
  </si>
  <si>
    <t>NNE</t>
  </si>
  <si>
    <t>min_peaks</t>
  </si>
  <si>
    <t>decluster_gap_h</t>
  </si>
  <si>
    <t>threshold_q</t>
  </si>
  <si>
    <t>N</t>
  </si>
  <si>
    <t>NE</t>
  </si>
  <si>
    <t>Hs_m 10%</t>
  </si>
  <si>
    <t>wave_sector</t>
  </si>
  <si>
    <t>wave_dir_deg</t>
  </si>
  <si>
    <t>Tp_s</t>
  </si>
  <si>
    <t>wind_dir_deg</t>
  </si>
  <si>
    <t>wind_speed_mps</t>
  </si>
  <si>
    <t>amp_factor</t>
  </si>
  <si>
    <t>wave_u_threshold</t>
  </si>
  <si>
    <t>wave_n_peaks</t>
  </si>
  <si>
    <t>wave_lam_per_year</t>
  </si>
  <si>
    <t>wave_weibull_k</t>
  </si>
  <si>
    <t>wave_weibull_theta</t>
  </si>
  <si>
    <t>wind_speed_mps 10%</t>
  </si>
  <si>
    <t>start_datetime</t>
  </si>
  <si>
    <t>end_datetime</t>
  </si>
  <si>
    <t>n_points</t>
  </si>
  <si>
    <t>dt_minutes</t>
  </si>
  <si>
    <t>duration_days</t>
  </si>
  <si>
    <t>n_HW</t>
  </si>
  <si>
    <t>n_LW</t>
  </si>
  <si>
    <t>n_spring_hw</t>
  </si>
  <si>
    <t>n_spring_lw</t>
  </si>
  <si>
    <t>mean statistically representative</t>
  </si>
  <si>
    <t>Metode Praktik Teknik (Engineering Approximation)</t>
  </si>
  <si>
    <t>MSL</t>
  </si>
  <si>
    <t>HAT</t>
  </si>
  <si>
    <t>(High Astronomical Tide)</t>
  </si>
  <si>
    <t>=</t>
  </si>
  <si>
    <t>HHWL</t>
  </si>
  <si>
    <t>(Higher High Water Level)</t>
  </si>
  <si>
    <t>MHWS</t>
  </si>
  <si>
    <t>(Mean High Water Spring)</t>
  </si>
  <si>
    <t>MHWL</t>
  </si>
  <si>
    <t>(Mean High Water Level)</t>
  </si>
  <si>
    <t>Z0</t>
  </si>
  <si>
    <t>MLWL</t>
  </si>
  <si>
    <t>(Mean Low Water Level)</t>
  </si>
  <si>
    <t>MLWS</t>
  </si>
  <si>
    <t>(Mean Low Water Spring)</t>
  </si>
  <si>
    <t>LLWL</t>
  </si>
  <si>
    <t>(Lowest Low Water Level)</t>
  </si>
  <si>
    <t>LAT</t>
  </si>
  <si>
    <t>(Lowest Astronomical Tide)</t>
  </si>
  <si>
    <t>Komponen</t>
  </si>
  <si>
    <t>H (cm)</t>
  </si>
  <si>
    <t>g (deg)</t>
  </si>
  <si>
    <t>M2</t>
  </si>
  <si>
    <t>S2</t>
  </si>
  <si>
    <t>K2</t>
  </si>
  <si>
    <t>N2</t>
  </si>
  <si>
    <t>K1</t>
  </si>
  <si>
    <t>O1</t>
  </si>
  <si>
    <t>P1</t>
  </si>
  <si>
    <t>M4</t>
  </si>
  <si>
    <t>MS4</t>
  </si>
  <si>
    <t>meter</t>
  </si>
  <si>
    <t>cm</t>
  </si>
  <si>
    <t>Return Period</t>
  </si>
  <si>
    <t>MSL+0.61</t>
  </si>
  <si>
    <t>Seasonal Fluctuations (m)</t>
  </si>
  <si>
    <t>Extreme surge [m]</t>
  </si>
  <si>
    <t>Sea level rise (50 years) [m]</t>
  </si>
  <si>
    <t>Design water level (50 years) [m]</t>
  </si>
  <si>
    <t>Design water level (0 years) [m] </t>
  </si>
  <si>
    <t>MHWS [m]</t>
  </si>
  <si>
    <t>Seasonal Fluctuations [m]</t>
  </si>
  <si>
    <t>DWL 0 m</t>
  </si>
  <si>
    <t>DWL 50 m</t>
  </si>
  <si>
    <t>(Mean Water Level)</t>
  </si>
  <si>
    <t>:</t>
  </si>
  <si>
    <t>dir_deg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</si>
</sst>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SL+&quot;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i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22" fontId="0" fillId="0" borderId="0" xfId="0" applyNumberFormat="1" applyAlignment="1">
      <alignment horizontal="center"/>
    </xf>
    <xf numFmtId="0" fontId="19" fillId="35" borderId="0" xfId="0" applyFont="1" applyFill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35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14" fillId="35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0" borderId="17" xfId="0" applyBorder="1"/>
    <xf numFmtId="0" fontId="21" fillId="0" borderId="11" xfId="0" applyFont="1" applyBorder="1" applyAlignment="1">
      <alignment horizontal="center"/>
    </xf>
    <xf numFmtId="0" fontId="22" fillId="0" borderId="0" xfId="0" applyFont="1" applyBorder="1" applyAlignment="1">
      <alignment horizontal="left"/>
    </xf>
    <xf numFmtId="0" fontId="23" fillId="0" borderId="0" xfId="0" applyFont="1" applyBorder="1" applyAlignment="1">
      <alignment horizontal="center"/>
    </xf>
    <xf numFmtId="2" fontId="23" fillId="0" borderId="12" xfId="0" applyNumberFormat="1" applyFont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left"/>
    </xf>
    <xf numFmtId="2" fontId="23" fillId="0" borderId="12" xfId="0" applyNumberFormat="1" applyFont="1" applyFill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left"/>
    </xf>
    <xf numFmtId="0" fontId="23" fillId="0" borderId="17" xfId="0" applyFont="1" applyBorder="1" applyAlignment="1">
      <alignment horizontal="center"/>
    </xf>
    <xf numFmtId="2" fontId="23" fillId="0" borderId="18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164" fontId="23" fillId="0" borderId="0" xfId="0" applyNumberFormat="1" applyFont="1" applyBorder="1" applyAlignment="1">
      <alignment horizontal="center"/>
    </xf>
    <xf numFmtId="164" fontId="23" fillId="0" borderId="12" xfId="0" applyNumberFormat="1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164" fontId="23" fillId="0" borderId="17" xfId="0" applyNumberFormat="1" applyFont="1" applyBorder="1" applyAlignment="1">
      <alignment horizontal="center"/>
    </xf>
    <xf numFmtId="164" fontId="23" fillId="0" borderId="18" xfId="0" applyNumberFormat="1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2" fontId="25" fillId="0" borderId="10" xfId="0" applyNumberFormat="1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2" fontId="24" fillId="0" borderId="10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2" fontId="14" fillId="0" borderId="10" xfId="0" applyNumberFormat="1" applyFont="1" applyBorder="1" applyAlignment="1">
      <alignment horizontal="center"/>
    </xf>
    <xf numFmtId="0" fontId="19" fillId="3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6</xdr:col>
      <xdr:colOff>38100</xdr:colOff>
      <xdr:row>27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35C5EA-9B66-4D9B-ADC4-BA604CF62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95600"/>
          <a:ext cx="3981450" cy="22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390525</xdr:colOff>
      <xdr:row>3</xdr:row>
      <xdr:rowOff>152400</xdr:rowOff>
    </xdr:from>
    <xdr:to>
      <xdr:col>13</xdr:col>
      <xdr:colOff>752475</xdr:colOff>
      <xdr:row>10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892D54-D6F7-4AA1-B30A-12F38CCF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619125"/>
          <a:ext cx="5762625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29</xdr:row>
      <xdr:rowOff>28575</xdr:rowOff>
    </xdr:from>
    <xdr:to>
      <xdr:col>13</xdr:col>
      <xdr:colOff>447675</xdr:colOff>
      <xdr:row>58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163689-3B0C-499F-B33C-703EBDA99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5476875"/>
          <a:ext cx="6981825" cy="566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257175</xdr:colOff>
      <xdr:row>2</xdr:row>
      <xdr:rowOff>171450</xdr:rowOff>
    </xdr:from>
    <xdr:to>
      <xdr:col>12</xdr:col>
      <xdr:colOff>104775</xdr:colOff>
      <xdr:row>13</xdr:row>
      <xdr:rowOff>149952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892FC-86C4-47A7-82D6-A5B67F208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552450"/>
          <a:ext cx="6629400" cy="2074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5D5C-B0C0-4A7C-AEB5-692D329A112C}">
  <dimension ref="A1:K28"/>
  <sheetViews>
    <sheetView tabSelected="1" workbookViewId="0">
      <selection activeCell="A26" sqref="A26:K28"/>
    </sheetView>
  </sheetViews>
  <sheetFormatPr defaultRowHeight="15" x14ac:dyDescent="0.25"/>
  <cols>
    <col min="1" max="1" width="12.140625" bestFit="1" customWidth="1"/>
    <col min="2" max="2" width="7.7109375" bestFit="1" customWidth="1"/>
    <col min="3" max="3" width="13.5703125" bestFit="1" customWidth="1"/>
    <col min="4" max="4" width="0" hidden="1" customWidth="1"/>
    <col min="6" max="6" width="16.7109375" hidden="1" customWidth="1"/>
    <col min="7" max="7" width="12" bestFit="1" customWidth="1"/>
    <col min="8" max="8" width="20.85546875" customWidth="1"/>
    <col min="9" max="9" width="8.5703125" hidden="1" customWidth="1"/>
    <col min="10" max="10" width="10.42578125" hidden="1" customWidth="1"/>
  </cols>
  <sheetData>
    <row r="1" spans="1:11" x14ac:dyDescent="0.25">
      <c r="A1" s="4" t="s">
        <v>18</v>
      </c>
      <c r="B1" s="4" t="s">
        <v>1</v>
      </c>
      <c r="C1" s="6" t="s">
        <v>19</v>
      </c>
      <c r="D1" s="4" t="s">
        <v>2</v>
      </c>
      <c r="E1" s="6" t="s">
        <v>3</v>
      </c>
      <c r="F1" s="4" t="s">
        <v>22</v>
      </c>
      <c r="G1" s="5" t="s">
        <v>17</v>
      </c>
      <c r="H1" s="6" t="s">
        <v>29</v>
      </c>
      <c r="I1" s="28" t="s">
        <v>83</v>
      </c>
      <c r="J1" s="28" t="s">
        <v>84</v>
      </c>
      <c r="K1" s="28" t="s">
        <v>84</v>
      </c>
    </row>
    <row r="2" spans="1:11" x14ac:dyDescent="0.25">
      <c r="A2" s="58" t="s">
        <v>5</v>
      </c>
      <c r="B2" s="58">
        <v>100</v>
      </c>
      <c r="C2" s="58">
        <v>90</v>
      </c>
      <c r="D2" s="59">
        <v>1.83936149607309</v>
      </c>
      <c r="E2" s="59">
        <v>7.09201775142607</v>
      </c>
      <c r="F2" s="59">
        <v>10.629309528507999</v>
      </c>
      <c r="G2" s="59">
        <f>D2*1.1</f>
        <v>2.0232976456803993</v>
      </c>
      <c r="H2" s="59">
        <f>F2*1.1</f>
        <v>11.6922404813588</v>
      </c>
      <c r="I2" s="59">
        <f>Datum_Sunda_Kelapa_Summary!$E$13+Datum_Sunda_Kelapa_Summary!$C$25</f>
        <v>3.1579922887300098</v>
      </c>
      <c r="J2" s="59">
        <f>Datum_Sunda_Kelapa_Summary!$E$13+Datum_Sunda_Kelapa_Summary!$C$26</f>
        <v>3.5579922887300097</v>
      </c>
      <c r="K2" s="59">
        <v>1.7352821308543596</v>
      </c>
    </row>
    <row r="3" spans="1:11" x14ac:dyDescent="0.25">
      <c r="A3" s="58" t="s">
        <v>5</v>
      </c>
      <c r="B3" s="58">
        <v>1000</v>
      </c>
      <c r="C3" s="58">
        <v>90</v>
      </c>
      <c r="D3" s="59">
        <v>2.11901221231326</v>
      </c>
      <c r="E3" s="59">
        <v>7.7819171350003797</v>
      </c>
      <c r="F3" s="59">
        <v>11.5429836438778</v>
      </c>
      <c r="G3" s="59">
        <f t="shared" ref="G3:G28" si="0">D3*1.1</f>
        <v>2.3309134335445862</v>
      </c>
      <c r="H3" s="59">
        <f t="shared" ref="H3:H28" si="1">F3*1.1</f>
        <v>12.697282008265582</v>
      </c>
      <c r="I3" s="59">
        <f>Datum_Sunda_Kelapa_Summary!$E$13+Datum_Sunda_Kelapa_Summary!$D$25</f>
        <v>3.2579922887300099</v>
      </c>
      <c r="J3" s="59">
        <f>Datum_Sunda_Kelapa_Summary!$E$13+Datum_Sunda_Kelapa_Summary!$D$26</f>
        <v>3.6579922887300098</v>
      </c>
      <c r="K3" s="59">
        <v>1.8352821308543597</v>
      </c>
    </row>
    <row r="4" spans="1:11" x14ac:dyDescent="0.25">
      <c r="A4" s="58" t="s">
        <v>5</v>
      </c>
      <c r="B4" s="58">
        <v>10000</v>
      </c>
      <c r="C4" s="58">
        <v>90</v>
      </c>
      <c r="D4" s="59">
        <v>2.3957682964470601</v>
      </c>
      <c r="E4" s="59">
        <v>8.2853999107662606</v>
      </c>
      <c r="F4" s="59">
        <v>12.417488223526499</v>
      </c>
      <c r="G4" s="59">
        <f t="shared" si="0"/>
        <v>2.6353451260917664</v>
      </c>
      <c r="H4" s="59">
        <f t="shared" si="1"/>
        <v>13.65923704587915</v>
      </c>
      <c r="I4" s="59">
        <f>Datum_Sunda_Kelapa_Summary!$E$13+Datum_Sunda_Kelapa_Summary!$E$25</f>
        <v>3.4079922887300098</v>
      </c>
      <c r="J4" s="59">
        <f>Datum_Sunda_Kelapa_Summary!$E$13+Datum_Sunda_Kelapa_Summary!$E$26</f>
        <v>3.8079922887300097</v>
      </c>
      <c r="K4" s="59">
        <v>1.9852821308543596</v>
      </c>
    </row>
    <row r="5" spans="1:11" x14ac:dyDescent="0.25">
      <c r="A5" s="58" t="s">
        <v>6</v>
      </c>
      <c r="B5" s="58">
        <v>100</v>
      </c>
      <c r="C5" s="58">
        <v>67.5</v>
      </c>
      <c r="D5" s="59">
        <v>1.2272232732428201</v>
      </c>
      <c r="E5" s="59">
        <v>7.0725238593841997</v>
      </c>
      <c r="F5" s="59">
        <v>9.1079994649255003</v>
      </c>
      <c r="G5" s="59">
        <f t="shared" si="0"/>
        <v>1.3499456005671022</v>
      </c>
      <c r="H5" s="59">
        <f t="shared" si="1"/>
        <v>10.018799411418051</v>
      </c>
      <c r="I5" s="59">
        <v>3.1579922887300098</v>
      </c>
      <c r="J5" s="59">
        <v>3.5579922887300097</v>
      </c>
      <c r="K5" s="59">
        <v>1.7352821308543596</v>
      </c>
    </row>
    <row r="6" spans="1:11" x14ac:dyDescent="0.25">
      <c r="A6" s="58" t="s">
        <v>6</v>
      </c>
      <c r="B6" s="58">
        <v>1000</v>
      </c>
      <c r="C6" s="58">
        <v>67.5</v>
      </c>
      <c r="D6" s="59">
        <v>1.37719109943817</v>
      </c>
      <c r="E6" s="59">
        <v>7.7665020253903503</v>
      </c>
      <c r="F6" s="59">
        <v>9.7183796306850798</v>
      </c>
      <c r="G6" s="59">
        <f t="shared" si="0"/>
        <v>1.5149102093819871</v>
      </c>
      <c r="H6" s="59">
        <f t="shared" si="1"/>
        <v>10.690217593753589</v>
      </c>
      <c r="I6" s="59">
        <v>3.2579922887300099</v>
      </c>
      <c r="J6" s="59">
        <v>3.6579922887300098</v>
      </c>
      <c r="K6" s="59">
        <v>1.8352821308543597</v>
      </c>
    </row>
    <row r="7" spans="1:11" x14ac:dyDescent="0.25">
      <c r="A7" s="58" t="s">
        <v>6</v>
      </c>
      <c r="B7" s="58">
        <v>10000</v>
      </c>
      <c r="C7" s="58">
        <v>67.5</v>
      </c>
      <c r="D7" s="59">
        <v>1.5192096722749699</v>
      </c>
      <c r="E7" s="59">
        <v>8.2947862679058808</v>
      </c>
      <c r="F7" s="59">
        <v>10.295036960842699</v>
      </c>
      <c r="G7" s="59">
        <f t="shared" si="0"/>
        <v>1.671130639502467</v>
      </c>
      <c r="H7" s="59">
        <f t="shared" si="1"/>
        <v>11.32454065692697</v>
      </c>
      <c r="I7" s="59">
        <v>3.4079922887300098</v>
      </c>
      <c r="J7" s="59">
        <v>3.8079922887300097</v>
      </c>
      <c r="K7" s="59">
        <v>1.9852821308543596</v>
      </c>
    </row>
    <row r="8" spans="1:11" x14ac:dyDescent="0.25">
      <c r="A8" s="58" t="s">
        <v>15</v>
      </c>
      <c r="B8" s="58">
        <v>100</v>
      </c>
      <c r="C8" s="58">
        <v>0</v>
      </c>
      <c r="D8" s="59">
        <v>1.4145791517183901</v>
      </c>
      <c r="E8" s="59">
        <v>5.9706564608304697</v>
      </c>
      <c r="F8" s="59">
        <v>7.0258203691041796</v>
      </c>
      <c r="G8" s="59">
        <f t="shared" si="0"/>
        <v>1.5560370668902292</v>
      </c>
      <c r="H8" s="59">
        <f t="shared" si="1"/>
        <v>7.7284024060145979</v>
      </c>
      <c r="I8" s="59">
        <v>3.1579922887300098</v>
      </c>
      <c r="J8" s="59">
        <v>3.5579922887300097</v>
      </c>
      <c r="K8" s="59">
        <v>1.7352821308543596</v>
      </c>
    </row>
    <row r="9" spans="1:11" x14ac:dyDescent="0.25">
      <c r="A9" s="58" t="s">
        <v>15</v>
      </c>
      <c r="B9" s="58">
        <v>1000</v>
      </c>
      <c r="C9" s="58">
        <v>0</v>
      </c>
      <c r="D9" s="59">
        <v>1.8017143554564199</v>
      </c>
      <c r="E9" s="59">
        <v>5.9706564608304697</v>
      </c>
      <c r="F9" s="59">
        <v>7.9932397135648197</v>
      </c>
      <c r="G9" s="59">
        <f t="shared" si="0"/>
        <v>1.981885791002062</v>
      </c>
      <c r="H9" s="59">
        <f t="shared" si="1"/>
        <v>8.7925636849213031</v>
      </c>
      <c r="I9" s="59">
        <v>3.2579922887300099</v>
      </c>
      <c r="J9" s="59">
        <v>3.6579922887300098</v>
      </c>
      <c r="K9" s="59">
        <v>1.8352821308543597</v>
      </c>
    </row>
    <row r="10" spans="1:11" x14ac:dyDescent="0.25">
      <c r="A10" s="58" t="s">
        <v>15</v>
      </c>
      <c r="B10" s="58">
        <v>10000</v>
      </c>
      <c r="C10" s="58">
        <v>0</v>
      </c>
      <c r="D10" s="59">
        <v>2.16238479623915</v>
      </c>
      <c r="E10" s="59">
        <v>5.9706564608304697</v>
      </c>
      <c r="F10" s="59">
        <v>8.9291070761966598</v>
      </c>
      <c r="G10" s="59">
        <f t="shared" si="0"/>
        <v>2.3786232758630654</v>
      </c>
      <c r="H10" s="59">
        <f t="shared" si="1"/>
        <v>9.8220177838163263</v>
      </c>
      <c r="I10" s="59">
        <v>3.4079922887300098</v>
      </c>
      <c r="J10" s="59">
        <v>3.8079922887300097</v>
      </c>
      <c r="K10" s="59">
        <v>1.9852821308543596</v>
      </c>
    </row>
    <row r="11" spans="1:11" x14ac:dyDescent="0.25">
      <c r="A11" s="58" t="s">
        <v>16</v>
      </c>
      <c r="B11" s="58">
        <v>100</v>
      </c>
      <c r="C11" s="58">
        <v>45</v>
      </c>
      <c r="D11" s="59">
        <v>0.51914473747394896</v>
      </c>
      <c r="E11" s="59">
        <v>5.9211942370460902</v>
      </c>
      <c r="F11" s="59">
        <v>8.4966051017367299</v>
      </c>
      <c r="G11" s="59">
        <f t="shared" si="0"/>
        <v>0.57105921122134395</v>
      </c>
      <c r="H11" s="59">
        <f t="shared" si="1"/>
        <v>9.3462656119104039</v>
      </c>
      <c r="I11" s="59">
        <v>3.1579922887300098</v>
      </c>
      <c r="J11" s="59">
        <v>3.5579922887300097</v>
      </c>
      <c r="K11" s="59">
        <v>1.7352821308543596</v>
      </c>
    </row>
    <row r="12" spans="1:11" x14ac:dyDescent="0.25">
      <c r="A12" s="58" t="s">
        <v>16</v>
      </c>
      <c r="B12" s="58">
        <v>1000</v>
      </c>
      <c r="C12" s="58">
        <v>45</v>
      </c>
      <c r="D12" s="59">
        <v>0.58451631925927505</v>
      </c>
      <c r="E12" s="59">
        <v>5.0907490764988399</v>
      </c>
      <c r="F12" s="59">
        <v>9.5447101498463596</v>
      </c>
      <c r="G12" s="59">
        <f t="shared" si="0"/>
        <v>0.64296795118520256</v>
      </c>
      <c r="H12" s="59">
        <f t="shared" si="1"/>
        <v>10.499181164830997</v>
      </c>
      <c r="I12" s="59">
        <v>3.2579922887300099</v>
      </c>
      <c r="J12" s="59">
        <v>3.6579922887300098</v>
      </c>
      <c r="K12" s="59">
        <v>1.8352821308543597</v>
      </c>
    </row>
    <row r="13" spans="1:11" x14ac:dyDescent="0.25">
      <c r="A13" s="58" t="s">
        <v>16</v>
      </c>
      <c r="B13" s="58">
        <v>10000</v>
      </c>
      <c r="C13" s="58">
        <v>45</v>
      </c>
      <c r="D13" s="59">
        <v>0.64689347186652502</v>
      </c>
      <c r="E13" s="59">
        <v>5.0907490764988399</v>
      </c>
      <c r="F13" s="59">
        <v>10.567636537577799</v>
      </c>
      <c r="G13" s="59">
        <f t="shared" si="0"/>
        <v>0.71158281905317755</v>
      </c>
      <c r="H13" s="59">
        <f t="shared" si="1"/>
        <v>11.62440019133558</v>
      </c>
      <c r="I13" s="59">
        <v>3.4079922887300098</v>
      </c>
      <c r="J13" s="59">
        <v>3.8079922887300097</v>
      </c>
      <c r="K13" s="59">
        <v>1.9852821308543596</v>
      </c>
    </row>
    <row r="14" spans="1:11" x14ac:dyDescent="0.25">
      <c r="A14" s="58" t="s">
        <v>11</v>
      </c>
      <c r="B14" s="58">
        <v>100</v>
      </c>
      <c r="C14" s="58">
        <v>22.5</v>
      </c>
      <c r="D14" s="59">
        <v>0.57317695643516198</v>
      </c>
      <c r="E14" s="59">
        <v>5.5308756099502396</v>
      </c>
      <c r="F14" s="59">
        <v>6.7065155210581802</v>
      </c>
      <c r="G14" s="59">
        <f t="shared" si="0"/>
        <v>0.63049465207867827</v>
      </c>
      <c r="H14" s="59">
        <f t="shared" si="1"/>
        <v>7.3771670731639984</v>
      </c>
      <c r="I14" s="59">
        <v>3.1579922887300098</v>
      </c>
      <c r="J14" s="59">
        <v>3.5579922887300097</v>
      </c>
      <c r="K14" s="59">
        <v>1.7352821308543596</v>
      </c>
    </row>
    <row r="15" spans="1:11" x14ac:dyDescent="0.25">
      <c r="A15" s="58" t="s">
        <v>11</v>
      </c>
      <c r="B15" s="58">
        <v>1000</v>
      </c>
      <c r="C15" s="58">
        <v>22.5</v>
      </c>
      <c r="D15" s="59">
        <v>0.78338501341998301</v>
      </c>
      <c r="E15" s="59">
        <v>7.0811250088737498</v>
      </c>
      <c r="F15" s="59">
        <v>7.5181423418846602</v>
      </c>
      <c r="G15" s="59">
        <f t="shared" si="0"/>
        <v>0.86172351476198139</v>
      </c>
      <c r="H15" s="59">
        <f t="shared" si="1"/>
        <v>8.2699565760731275</v>
      </c>
      <c r="I15" s="59">
        <v>3.2579922887300099</v>
      </c>
      <c r="J15" s="59">
        <v>3.6579922887300098</v>
      </c>
      <c r="K15" s="59">
        <v>1.8352821308543597</v>
      </c>
    </row>
    <row r="16" spans="1:11" x14ac:dyDescent="0.25">
      <c r="A16" s="58" t="s">
        <v>11</v>
      </c>
      <c r="B16" s="58">
        <v>10000</v>
      </c>
      <c r="C16" s="58">
        <v>22.5</v>
      </c>
      <c r="D16" s="59">
        <v>1.0132483266880601</v>
      </c>
      <c r="E16" s="59">
        <v>9.0565237529274807</v>
      </c>
      <c r="F16" s="59">
        <v>8.2876476645719404</v>
      </c>
      <c r="G16" s="59">
        <f t="shared" si="0"/>
        <v>1.1145731593568662</v>
      </c>
      <c r="H16" s="59">
        <f t="shared" si="1"/>
        <v>9.1164124310291346</v>
      </c>
      <c r="I16" s="59">
        <v>3.4079922887300098</v>
      </c>
      <c r="J16" s="59">
        <v>3.8079922887300097</v>
      </c>
      <c r="K16" s="59">
        <v>1.9852821308543596</v>
      </c>
    </row>
    <row r="17" spans="1:11" x14ac:dyDescent="0.25">
      <c r="A17" s="58" t="s">
        <v>10</v>
      </c>
      <c r="B17" s="58">
        <v>100</v>
      </c>
      <c r="C17" s="58">
        <v>337.5</v>
      </c>
      <c r="D17" s="59">
        <v>2.0406256071489302</v>
      </c>
      <c r="E17" s="59">
        <v>6.3024919770935899</v>
      </c>
      <c r="F17" s="59">
        <v>10.6216166455986</v>
      </c>
      <c r="G17" s="59">
        <f t="shared" si="0"/>
        <v>2.2446881678638233</v>
      </c>
      <c r="H17" s="59">
        <f t="shared" si="1"/>
        <v>11.683778310158461</v>
      </c>
      <c r="I17" s="59">
        <v>3.1579922887300098</v>
      </c>
      <c r="J17" s="59">
        <v>3.5579922887300097</v>
      </c>
      <c r="K17" s="59">
        <v>1.7352821308543596</v>
      </c>
    </row>
    <row r="18" spans="1:11" x14ac:dyDescent="0.25">
      <c r="A18" s="58" t="s">
        <v>10</v>
      </c>
      <c r="B18" s="58">
        <v>1000</v>
      </c>
      <c r="C18" s="58">
        <v>337.5</v>
      </c>
      <c r="D18" s="59">
        <v>2.38517573880958</v>
      </c>
      <c r="E18" s="59">
        <v>6.7185474354673298</v>
      </c>
      <c r="F18" s="59">
        <v>12.0236874432207</v>
      </c>
      <c r="G18" s="59">
        <f t="shared" si="0"/>
        <v>2.6236933126905382</v>
      </c>
      <c r="H18" s="59">
        <f t="shared" si="1"/>
        <v>13.22605618754277</v>
      </c>
      <c r="I18" s="59">
        <v>3.2579922887300099</v>
      </c>
      <c r="J18" s="59">
        <v>3.6579922887300098</v>
      </c>
      <c r="K18" s="59">
        <v>1.8352821308543597</v>
      </c>
    </row>
    <row r="19" spans="1:11" x14ac:dyDescent="0.25">
      <c r="A19" s="58" t="s">
        <v>10</v>
      </c>
      <c r="B19" s="58">
        <v>10000</v>
      </c>
      <c r="C19" s="58">
        <v>337.5</v>
      </c>
      <c r="D19" s="59">
        <v>2.7148694326775402</v>
      </c>
      <c r="E19" s="59">
        <v>7.1077362839366396</v>
      </c>
      <c r="F19" s="59">
        <v>13.3721660905244</v>
      </c>
      <c r="G19" s="59">
        <f t="shared" si="0"/>
        <v>2.9863563759452947</v>
      </c>
      <c r="H19" s="59">
        <f t="shared" si="1"/>
        <v>14.709382699576842</v>
      </c>
      <c r="I19" s="59">
        <v>3.4079922887300098</v>
      </c>
      <c r="J19" s="59">
        <v>3.8079922887300097</v>
      </c>
      <c r="K19" s="59">
        <v>1.9852821308543596</v>
      </c>
    </row>
    <row r="20" spans="1:11" x14ac:dyDescent="0.25">
      <c r="A20" s="58" t="s">
        <v>7</v>
      </c>
      <c r="B20" s="58">
        <v>100</v>
      </c>
      <c r="C20" s="58">
        <v>315</v>
      </c>
      <c r="D20" s="59">
        <v>2.0192652668425599</v>
      </c>
      <c r="E20" s="59">
        <v>6.4845101367427</v>
      </c>
      <c r="F20" s="59">
        <v>12.6950004907509</v>
      </c>
      <c r="G20" s="59">
        <f t="shared" si="0"/>
        <v>2.2211917935268159</v>
      </c>
      <c r="H20" s="59">
        <f t="shared" si="1"/>
        <v>13.964500539825991</v>
      </c>
      <c r="I20" s="59">
        <v>3.1579922887300098</v>
      </c>
      <c r="J20" s="59">
        <v>3.5579922887300097</v>
      </c>
      <c r="K20" s="59">
        <v>1.7352821308543596</v>
      </c>
    </row>
    <row r="21" spans="1:11" x14ac:dyDescent="0.25">
      <c r="A21" s="58" t="s">
        <v>7</v>
      </c>
      <c r="B21" s="58">
        <v>1000</v>
      </c>
      <c r="C21" s="58">
        <v>315</v>
      </c>
      <c r="D21" s="59">
        <v>2.2978815682736999</v>
      </c>
      <c r="E21" s="59">
        <v>6.9758160206856497</v>
      </c>
      <c r="F21" s="59">
        <v>14.231160922149501</v>
      </c>
      <c r="G21" s="59">
        <f t="shared" si="0"/>
        <v>2.5276697251010702</v>
      </c>
      <c r="H21" s="59">
        <f t="shared" si="1"/>
        <v>15.654277014364451</v>
      </c>
      <c r="I21" s="59">
        <v>3.2579922887300099</v>
      </c>
      <c r="J21" s="59">
        <v>3.6579922887300098</v>
      </c>
      <c r="K21" s="59">
        <v>1.8352821308543597</v>
      </c>
    </row>
    <row r="22" spans="1:11" x14ac:dyDescent="0.25">
      <c r="A22" s="58" t="s">
        <v>7</v>
      </c>
      <c r="B22" s="58">
        <v>10000</v>
      </c>
      <c r="C22" s="58">
        <v>315</v>
      </c>
      <c r="D22" s="59">
        <v>2.5626894746640998</v>
      </c>
      <c r="E22" s="59">
        <v>7.4588088101752303</v>
      </c>
      <c r="F22" s="59">
        <v>15.7449021558413</v>
      </c>
      <c r="G22" s="59">
        <f t="shared" si="0"/>
        <v>2.81895842213051</v>
      </c>
      <c r="H22" s="59">
        <f t="shared" si="1"/>
        <v>17.319392371425433</v>
      </c>
      <c r="I22" s="59">
        <v>3.4079922887300098</v>
      </c>
      <c r="J22" s="59">
        <v>3.8079922887300097</v>
      </c>
      <c r="K22" s="59">
        <v>1.9852821308543596</v>
      </c>
    </row>
    <row r="23" spans="1:11" x14ac:dyDescent="0.25">
      <c r="A23" s="58" t="s">
        <v>8</v>
      </c>
      <c r="B23" s="58">
        <v>100</v>
      </c>
      <c r="C23" s="58">
        <v>270</v>
      </c>
      <c r="D23" s="59">
        <v>1.7442594856968101</v>
      </c>
      <c r="E23" s="59">
        <v>5.6601108604294001</v>
      </c>
      <c r="F23" s="59">
        <v>12.7787546266352</v>
      </c>
      <c r="G23" s="59">
        <f t="shared" si="0"/>
        <v>1.9186854342664912</v>
      </c>
      <c r="H23" s="59">
        <f t="shared" si="1"/>
        <v>14.056630089298721</v>
      </c>
      <c r="I23" s="59">
        <v>3.1579922887300098</v>
      </c>
      <c r="J23" s="59">
        <v>3.5579922887300097</v>
      </c>
      <c r="K23" s="59">
        <v>1.7352821308543596</v>
      </c>
    </row>
    <row r="24" spans="1:11" x14ac:dyDescent="0.25">
      <c r="A24" s="58" t="s">
        <v>8</v>
      </c>
      <c r="B24" s="58">
        <v>1000</v>
      </c>
      <c r="C24" s="58">
        <v>270</v>
      </c>
      <c r="D24" s="59">
        <v>2.1349438821344302</v>
      </c>
      <c r="E24" s="59">
        <v>6.3427180032369197</v>
      </c>
      <c r="F24" s="59">
        <v>14.1629916087398</v>
      </c>
      <c r="G24" s="59">
        <f t="shared" si="0"/>
        <v>2.3484382703478732</v>
      </c>
      <c r="H24" s="59">
        <f t="shared" si="1"/>
        <v>15.579290769613781</v>
      </c>
      <c r="I24" s="59">
        <v>3.2579922887300099</v>
      </c>
      <c r="J24" s="59">
        <v>3.6579922887300098</v>
      </c>
      <c r="K24" s="59">
        <v>1.8352821308543597</v>
      </c>
    </row>
    <row r="25" spans="1:11" x14ac:dyDescent="0.25">
      <c r="A25" s="58" t="s">
        <v>8</v>
      </c>
      <c r="B25" s="58">
        <v>10000</v>
      </c>
      <c r="C25" s="58">
        <v>270</v>
      </c>
      <c r="D25" s="59">
        <v>2.53470522550698</v>
      </c>
      <c r="E25" s="59">
        <v>6.98969280476918</v>
      </c>
      <c r="F25" s="59">
        <v>15.5080835788418</v>
      </c>
      <c r="G25" s="59">
        <f t="shared" si="0"/>
        <v>2.7881757480576783</v>
      </c>
      <c r="H25" s="59">
        <f t="shared" si="1"/>
        <v>17.058891936725981</v>
      </c>
      <c r="I25" s="59">
        <v>3.4079922887300098</v>
      </c>
      <c r="J25" s="59">
        <v>3.8079922887300097</v>
      </c>
      <c r="K25" s="59">
        <v>1.9852821308543596</v>
      </c>
    </row>
    <row r="26" spans="1:11" x14ac:dyDescent="0.25">
      <c r="A26" s="58" t="s">
        <v>9</v>
      </c>
      <c r="B26" s="58">
        <v>100</v>
      </c>
      <c r="C26" s="58">
        <v>292.5</v>
      </c>
      <c r="D26" s="59">
        <v>1.6393621484324401</v>
      </c>
      <c r="E26" s="59">
        <v>5.7452126932220402</v>
      </c>
      <c r="F26" s="59">
        <v>12.474010458558499</v>
      </c>
      <c r="G26" s="59">
        <f t="shared" si="0"/>
        <v>1.8032983632756843</v>
      </c>
      <c r="H26" s="59">
        <f t="shared" si="1"/>
        <v>13.72141150441435</v>
      </c>
      <c r="I26" s="59">
        <v>3.1579922887300098</v>
      </c>
      <c r="J26" s="59">
        <v>3.5579922887300097</v>
      </c>
      <c r="K26" s="59">
        <v>1.7352821308543596</v>
      </c>
    </row>
    <row r="27" spans="1:11" x14ac:dyDescent="0.25">
      <c r="A27" s="58" t="s">
        <v>9</v>
      </c>
      <c r="B27" s="58">
        <v>1000</v>
      </c>
      <c r="C27" s="58">
        <v>292.5</v>
      </c>
      <c r="D27" s="59">
        <v>1.9187781537408299</v>
      </c>
      <c r="E27" s="59">
        <v>6.3075895807572202</v>
      </c>
      <c r="F27" s="59">
        <v>13.7864186054701</v>
      </c>
      <c r="G27" s="59">
        <f t="shared" si="0"/>
        <v>2.1106559691149132</v>
      </c>
      <c r="H27" s="59">
        <f t="shared" si="1"/>
        <v>15.165060466017112</v>
      </c>
      <c r="I27" s="59">
        <v>3.2579922887300099</v>
      </c>
      <c r="J27" s="59">
        <v>3.6579922887300098</v>
      </c>
      <c r="K27" s="59">
        <v>1.8352821308543597</v>
      </c>
    </row>
    <row r="28" spans="1:11" x14ac:dyDescent="0.25">
      <c r="A28" s="58" t="s">
        <v>9</v>
      </c>
      <c r="B28" s="58">
        <v>10000</v>
      </c>
      <c r="C28" s="58">
        <v>292.5</v>
      </c>
      <c r="D28" s="59">
        <v>2.1939636960118301</v>
      </c>
      <c r="E28" s="59">
        <v>6.8372784565228102</v>
      </c>
      <c r="F28" s="59">
        <v>15.0671019861008</v>
      </c>
      <c r="G28" s="59">
        <f t="shared" si="0"/>
        <v>2.4133600656130132</v>
      </c>
      <c r="H28" s="59">
        <f t="shared" si="1"/>
        <v>16.573812184710881</v>
      </c>
      <c r="I28" s="59">
        <v>3.4079922887300098</v>
      </c>
      <c r="J28" s="59">
        <v>3.8079922887300097</v>
      </c>
      <c r="K28" s="59">
        <v>1.9852821308543596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CD49-8D36-4D3D-893E-653886852EDA}">
  <dimension ref="A1:J36"/>
  <sheetViews>
    <sheetView topLeftCell="A10" workbookViewId="0">
      <selection activeCell="G29" sqref="G29"/>
    </sheetView>
  </sheetViews>
  <sheetFormatPr defaultRowHeight="15" x14ac:dyDescent="0.25"/>
  <cols>
    <col min="1" max="1" width="15.85546875" bestFit="1" customWidth="1"/>
    <col min="2" max="2" width="31.140625" bestFit="1" customWidth="1"/>
    <col min="3" max="3" width="13.7109375" bestFit="1" customWidth="1"/>
    <col min="4" max="4" width="11.7109375" bestFit="1" customWidth="1"/>
    <col min="5" max="5" width="12.28515625" bestFit="1" customWidth="1"/>
    <col min="6" max="6" width="11.7109375" bestFit="1" customWidth="1"/>
    <col min="7" max="7" width="30.7109375" bestFit="1" customWidth="1"/>
    <col min="14" max="14" width="25.7109375" bestFit="1" customWidth="1"/>
    <col min="15" max="15" width="2" bestFit="1" customWidth="1"/>
  </cols>
  <sheetData>
    <row r="1" spans="1:7" x14ac:dyDescent="0.25">
      <c r="A1" s="1" t="s">
        <v>30</v>
      </c>
      <c r="B1" s="1" t="s">
        <v>31</v>
      </c>
      <c r="C1" s="1"/>
      <c r="D1" s="1"/>
    </row>
    <row r="2" spans="1:7" x14ac:dyDescent="0.25">
      <c r="A2" s="7">
        <v>38717.958333333336</v>
      </c>
      <c r="B2" s="7">
        <v>46022.958333333336</v>
      </c>
      <c r="C2" s="1"/>
      <c r="D2" s="1"/>
    </row>
    <row r="3" spans="1:7" x14ac:dyDescent="0.25">
      <c r="A3" s="7"/>
      <c r="B3" s="7"/>
      <c r="C3" s="1"/>
      <c r="D3" s="1"/>
    </row>
    <row r="4" spans="1:7" x14ac:dyDescent="0.25">
      <c r="A4" s="1" t="s">
        <v>32</v>
      </c>
      <c r="B4" s="1" t="s">
        <v>33</v>
      </c>
      <c r="C4" s="1" t="s">
        <v>34</v>
      </c>
      <c r="D4" s="1"/>
    </row>
    <row r="5" spans="1:7" x14ac:dyDescent="0.25">
      <c r="A5" s="1">
        <v>1051921</v>
      </c>
      <c r="B5" s="1">
        <v>10</v>
      </c>
      <c r="C5" s="1">
        <v>7305</v>
      </c>
      <c r="D5" s="1"/>
    </row>
    <row r="6" spans="1:7" x14ac:dyDescent="0.25">
      <c r="A6" s="1" t="s">
        <v>35</v>
      </c>
      <c r="B6" s="1" t="s">
        <v>36</v>
      </c>
      <c r="C6" s="1" t="s">
        <v>37</v>
      </c>
      <c r="D6" s="1" t="s">
        <v>38</v>
      </c>
    </row>
    <row r="7" spans="1:7" x14ac:dyDescent="0.25">
      <c r="A7" s="1">
        <v>10135</v>
      </c>
      <c r="B7" s="1">
        <v>10135</v>
      </c>
      <c r="C7" s="1">
        <v>495</v>
      </c>
      <c r="D7" s="1">
        <v>495</v>
      </c>
    </row>
    <row r="8" spans="1:7" x14ac:dyDescent="0.25">
      <c r="A8" s="1"/>
      <c r="B8" s="1"/>
      <c r="C8" s="1"/>
      <c r="D8" s="1" t="s">
        <v>73</v>
      </c>
      <c r="E8" s="1" t="s">
        <v>72</v>
      </c>
    </row>
    <row r="9" spans="1:7" x14ac:dyDescent="0.25">
      <c r="A9" s="11" t="s">
        <v>42</v>
      </c>
      <c r="B9" s="1" t="s">
        <v>43</v>
      </c>
      <c r="C9" s="1" t="s">
        <v>44</v>
      </c>
      <c r="D9" s="2">
        <v>254.53782800952601</v>
      </c>
      <c r="E9" s="2">
        <f>D9/100</f>
        <v>2.5453782800952602</v>
      </c>
      <c r="F9" s="2">
        <f>E9-$E$13</f>
        <v>0.72266812221961008</v>
      </c>
      <c r="G9" s="2"/>
    </row>
    <row r="10" spans="1:7" x14ac:dyDescent="0.25">
      <c r="A10" s="11" t="s">
        <v>45</v>
      </c>
      <c r="B10" s="1" t="s">
        <v>46</v>
      </c>
      <c r="C10" s="1" t="s">
        <v>44</v>
      </c>
      <c r="D10" s="2">
        <v>254.53870726617399</v>
      </c>
      <c r="E10" s="2">
        <f t="shared" ref="E10:E17" si="0">D10/100</f>
        <v>2.54538707266174</v>
      </c>
      <c r="F10" s="2">
        <f t="shared" ref="F10:F17" si="1">E10-$E$13</f>
        <v>0.72267691478608986</v>
      </c>
      <c r="G10" s="2"/>
    </row>
    <row r="11" spans="1:7" x14ac:dyDescent="0.25">
      <c r="A11" s="12" t="s">
        <v>47</v>
      </c>
      <c r="B11" s="13" t="s">
        <v>48</v>
      </c>
      <c r="C11" s="13" t="s">
        <v>44</v>
      </c>
      <c r="D11" s="14">
        <v>242.799228873001</v>
      </c>
      <c r="E11" s="14">
        <f t="shared" si="0"/>
        <v>2.4279922887300098</v>
      </c>
      <c r="F11" s="16">
        <f t="shared" si="1"/>
        <v>0.60528213085435967</v>
      </c>
      <c r="G11" s="16"/>
    </row>
    <row r="12" spans="1:7" x14ac:dyDescent="0.25">
      <c r="A12" s="11" t="s">
        <v>49</v>
      </c>
      <c r="B12" s="1" t="s">
        <v>50</v>
      </c>
      <c r="C12" s="1" t="s">
        <v>44</v>
      </c>
      <c r="D12" s="2">
        <v>213.14245743780199</v>
      </c>
      <c r="E12" s="2">
        <f t="shared" si="0"/>
        <v>2.1314245743780198</v>
      </c>
      <c r="F12" s="2">
        <f t="shared" si="1"/>
        <v>0.30871441650236964</v>
      </c>
      <c r="G12" s="2"/>
    </row>
    <row r="13" spans="1:7" x14ac:dyDescent="0.25">
      <c r="A13" s="12" t="s">
        <v>41</v>
      </c>
      <c r="B13" s="13" t="s">
        <v>51</v>
      </c>
      <c r="C13" s="13" t="s">
        <v>44</v>
      </c>
      <c r="D13" s="14">
        <v>182.27101578756501</v>
      </c>
      <c r="E13" s="15">
        <f t="shared" si="0"/>
        <v>1.8227101578756502</v>
      </c>
      <c r="F13" s="2">
        <f t="shared" si="1"/>
        <v>0</v>
      </c>
      <c r="G13" s="2"/>
    </row>
    <row r="14" spans="1:7" x14ac:dyDescent="0.25">
      <c r="A14" s="11" t="s">
        <v>52</v>
      </c>
      <c r="B14" s="1" t="s">
        <v>53</v>
      </c>
      <c r="C14" s="1" t="s">
        <v>44</v>
      </c>
      <c r="D14" s="2">
        <v>151.07132192962499</v>
      </c>
      <c r="E14" s="2">
        <f t="shared" si="0"/>
        <v>1.5107132192962498</v>
      </c>
      <c r="F14" s="2">
        <f t="shared" si="1"/>
        <v>-0.31199693857940036</v>
      </c>
      <c r="G14" s="2"/>
    </row>
    <row r="15" spans="1:7" x14ac:dyDescent="0.25">
      <c r="A15" s="11" t="s">
        <v>54</v>
      </c>
      <c r="B15" s="1" t="s">
        <v>55</v>
      </c>
      <c r="C15" s="1" t="s">
        <v>44</v>
      </c>
      <c r="D15" s="2">
        <v>131.442238586613</v>
      </c>
      <c r="E15" s="2">
        <f t="shared" si="0"/>
        <v>1.3144223858661299</v>
      </c>
      <c r="F15" s="2">
        <f t="shared" si="1"/>
        <v>-0.50828777200952024</v>
      </c>
      <c r="G15" s="2"/>
    </row>
    <row r="16" spans="1:7" x14ac:dyDescent="0.25">
      <c r="A16" s="11" t="s">
        <v>56</v>
      </c>
      <c r="B16" s="1" t="s">
        <v>57</v>
      </c>
      <c r="C16" s="1" t="s">
        <v>44</v>
      </c>
      <c r="D16" s="2">
        <v>127.488385921014</v>
      </c>
      <c r="E16" s="2">
        <f t="shared" si="0"/>
        <v>1.2748838592101399</v>
      </c>
      <c r="F16" s="2">
        <f t="shared" si="1"/>
        <v>-0.54782629866551025</v>
      </c>
      <c r="G16" s="2"/>
    </row>
    <row r="17" spans="1:10" x14ac:dyDescent="0.25">
      <c r="A17" s="11" t="s">
        <v>58</v>
      </c>
      <c r="B17" s="1" t="s">
        <v>59</v>
      </c>
      <c r="C17" s="1" t="s">
        <v>44</v>
      </c>
      <c r="D17" s="2">
        <v>127.503211553269</v>
      </c>
      <c r="E17" s="2">
        <f t="shared" si="0"/>
        <v>1.27503211553269</v>
      </c>
      <c r="F17" s="2">
        <f t="shared" si="1"/>
        <v>-0.54767804234296014</v>
      </c>
      <c r="G17" s="2"/>
    </row>
    <row r="20" spans="1:10" x14ac:dyDescent="0.25">
      <c r="B20" s="1" t="s">
        <v>74</v>
      </c>
      <c r="C20" s="1">
        <v>100</v>
      </c>
      <c r="D20" s="1">
        <v>1000</v>
      </c>
      <c r="E20" s="1">
        <v>10000</v>
      </c>
    </row>
    <row r="21" spans="1:10" x14ac:dyDescent="0.25">
      <c r="B21" s="1" t="str">
        <f>A11</f>
        <v>MHWS</v>
      </c>
      <c r="C21" s="1" t="s">
        <v>75</v>
      </c>
      <c r="D21" s="1" t="s">
        <v>75</v>
      </c>
      <c r="E21" s="1" t="s">
        <v>75</v>
      </c>
    </row>
    <row r="22" spans="1:10" x14ac:dyDescent="0.25">
      <c r="B22" s="1" t="s">
        <v>76</v>
      </c>
      <c r="C22" s="1">
        <v>0.1</v>
      </c>
      <c r="D22" s="1">
        <v>0.1</v>
      </c>
      <c r="E22" s="1">
        <v>0.1</v>
      </c>
    </row>
    <row r="23" spans="1:10" x14ac:dyDescent="0.25">
      <c r="B23" s="1" t="s">
        <v>77</v>
      </c>
      <c r="C23" s="1">
        <v>0.63</v>
      </c>
      <c r="D23" s="1">
        <v>0.73</v>
      </c>
      <c r="E23" s="1">
        <v>0.88</v>
      </c>
    </row>
    <row r="24" spans="1:10" x14ac:dyDescent="0.25">
      <c r="B24" s="1" t="s">
        <v>78</v>
      </c>
      <c r="C24" s="1">
        <v>0.4</v>
      </c>
      <c r="D24" s="1">
        <v>0.4</v>
      </c>
      <c r="E24" s="1">
        <v>0.4</v>
      </c>
      <c r="H24" s="1">
        <v>100</v>
      </c>
      <c r="I24" s="1">
        <v>1000</v>
      </c>
      <c r="J24" s="1">
        <v>10000</v>
      </c>
    </row>
    <row r="25" spans="1:10" x14ac:dyDescent="0.25">
      <c r="B25" s="1" t="s">
        <v>80</v>
      </c>
      <c r="C25" s="2">
        <f>$F$11+C22+C23</f>
        <v>1.3352821308543597</v>
      </c>
      <c r="D25" s="2">
        <f t="shared" ref="D25:E25" si="2">$F$11+D22+D23</f>
        <v>1.4352821308543597</v>
      </c>
      <c r="E25" s="2">
        <f t="shared" si="2"/>
        <v>1.5852821308543597</v>
      </c>
      <c r="G25" s="1" t="s">
        <v>80</v>
      </c>
      <c r="H25" s="2">
        <f>$E$13+C25</f>
        <v>3.1579922887300098</v>
      </c>
      <c r="I25" s="2">
        <f t="shared" ref="I25:J26" si="3">$E$13+D25</f>
        <v>3.2579922887300099</v>
      </c>
      <c r="J25" s="2">
        <f t="shared" si="3"/>
        <v>3.4079922887300098</v>
      </c>
    </row>
    <row r="26" spans="1:10" x14ac:dyDescent="0.25">
      <c r="B26" s="1" t="s">
        <v>79</v>
      </c>
      <c r="C26" s="2">
        <f>C25+C24</f>
        <v>1.7352821308543596</v>
      </c>
      <c r="D26" s="2">
        <f t="shared" ref="D26:E26" si="4">D25+D24</f>
        <v>1.8352821308543597</v>
      </c>
      <c r="E26" s="2">
        <f t="shared" si="4"/>
        <v>1.9852821308543596</v>
      </c>
      <c r="G26" s="1" t="s">
        <v>79</v>
      </c>
      <c r="H26" s="2">
        <f>$E$13+C26</f>
        <v>3.5579922887300097</v>
      </c>
      <c r="I26" s="2">
        <f t="shared" si="3"/>
        <v>3.6579922887300098</v>
      </c>
      <c r="J26" s="2">
        <f t="shared" si="3"/>
        <v>3.8079922887300097</v>
      </c>
    </row>
    <row r="28" spans="1:10" ht="15.75" thickBot="1" x14ac:dyDescent="0.3"/>
    <row r="29" spans="1:10" ht="15.75" thickBot="1" x14ac:dyDescent="0.3">
      <c r="B29" s="22" t="s">
        <v>74</v>
      </c>
      <c r="C29" s="23">
        <v>100</v>
      </c>
      <c r="D29" s="23">
        <v>1000</v>
      </c>
      <c r="E29" s="24">
        <v>10000</v>
      </c>
    </row>
    <row r="30" spans="1:10" x14ac:dyDescent="0.25">
      <c r="B30" s="17" t="s">
        <v>81</v>
      </c>
      <c r="C30" s="18" t="s">
        <v>75</v>
      </c>
      <c r="D30" s="18" t="s">
        <v>75</v>
      </c>
      <c r="E30" s="19" t="s">
        <v>75</v>
      </c>
    </row>
    <row r="31" spans="1:10" x14ac:dyDescent="0.25">
      <c r="B31" s="17" t="s">
        <v>82</v>
      </c>
      <c r="C31" s="18">
        <v>0.1</v>
      </c>
      <c r="D31" s="18">
        <v>0.1</v>
      </c>
      <c r="E31" s="19">
        <v>0.1</v>
      </c>
    </row>
    <row r="32" spans="1:10" x14ac:dyDescent="0.25">
      <c r="B32" s="17" t="s">
        <v>77</v>
      </c>
      <c r="C32" s="18">
        <v>0.63</v>
      </c>
      <c r="D32" s="18">
        <v>0.73</v>
      </c>
      <c r="E32" s="19">
        <v>0.88</v>
      </c>
    </row>
    <row r="33" spans="2:5" x14ac:dyDescent="0.25">
      <c r="B33" s="17" t="s">
        <v>78</v>
      </c>
      <c r="C33" s="18">
        <v>0.4</v>
      </c>
      <c r="D33" s="18">
        <v>0.4</v>
      </c>
      <c r="E33" s="19">
        <v>0.4</v>
      </c>
    </row>
    <row r="34" spans="2:5" x14ac:dyDescent="0.25">
      <c r="B34" s="17" t="s">
        <v>80</v>
      </c>
      <c r="C34" s="20">
        <f>$F$11+C31+C32</f>
        <v>1.3352821308543597</v>
      </c>
      <c r="D34" s="20">
        <f t="shared" ref="D34:E34" si="5">$F$11+D31+D32</f>
        <v>1.4352821308543597</v>
      </c>
      <c r="E34" s="21">
        <f t="shared" si="5"/>
        <v>1.5852821308543597</v>
      </c>
    </row>
    <row r="35" spans="2:5" ht="15.75" thickBot="1" x14ac:dyDescent="0.3">
      <c r="B35" s="25" t="s">
        <v>79</v>
      </c>
      <c r="C35" s="26">
        <f>C34+C33</f>
        <v>1.7352821308543596</v>
      </c>
      <c r="D35" s="26">
        <f t="shared" ref="D35" si="6">D34+D33</f>
        <v>1.8352821308543597</v>
      </c>
      <c r="E35" s="27">
        <f t="shared" ref="E35" si="7">E34+E33</f>
        <v>1.9852821308543596</v>
      </c>
    </row>
    <row r="36" spans="2:5" ht="15.75" thickTop="1" x14ac:dyDescent="0.25"/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77A3-2367-4C3E-90CC-9800E51E411E}">
  <dimension ref="B2:Z60"/>
  <sheetViews>
    <sheetView showGridLines="0" topLeftCell="A25" workbookViewId="0">
      <selection activeCell="P38" sqref="P38"/>
    </sheetView>
  </sheetViews>
  <sheetFormatPr defaultRowHeight="15" x14ac:dyDescent="0.25"/>
  <cols>
    <col min="1" max="1" width="0.42578125" customWidth="1"/>
    <col min="2" max="2" width="9.85546875" bestFit="1" customWidth="1"/>
    <col min="3" max="3" width="37" bestFit="1" customWidth="1"/>
    <col min="4" max="4" width="2" bestFit="1" customWidth="1"/>
    <col min="5" max="5" width="9.85546875" bestFit="1" customWidth="1"/>
    <col min="6" max="6" width="0.42578125" customWidth="1"/>
    <col min="8" max="8" width="9.140625" customWidth="1"/>
    <col min="9" max="9" width="0.42578125" customWidth="1"/>
    <col min="10" max="10" width="41.42578125" customWidth="1"/>
    <col min="11" max="11" width="2" bestFit="1" customWidth="1"/>
    <col min="12" max="14" width="14" bestFit="1" customWidth="1"/>
    <col min="15" max="15" width="0.42578125" customWidth="1"/>
    <col min="19" max="19" width="0.42578125" customWidth="1"/>
    <col min="20" max="20" width="15.28515625" bestFit="1" customWidth="1"/>
    <col min="21" max="21" width="10.5703125" customWidth="1"/>
    <col min="22" max="22" width="13.5703125" bestFit="1" customWidth="1"/>
    <col min="23" max="24" width="15.5703125" bestFit="1" customWidth="1"/>
    <col min="25" max="25" width="20.85546875" bestFit="1" customWidth="1"/>
    <col min="26" max="26" width="12.28515625" bestFit="1" customWidth="1"/>
    <col min="27" max="27" width="0.42578125" customWidth="1"/>
  </cols>
  <sheetData>
    <row r="2" spans="2:14" ht="2.25" customHeight="1" thickBot="1" x14ac:dyDescent="0.3">
      <c r="B2" s="29"/>
      <c r="C2" s="29"/>
      <c r="D2" s="29"/>
      <c r="E2" s="29"/>
    </row>
    <row r="3" spans="2:14" ht="19.5" thickTop="1" x14ac:dyDescent="0.3">
      <c r="B3" s="30" t="s">
        <v>42</v>
      </c>
      <c r="C3" s="31" t="s">
        <v>43</v>
      </c>
      <c r="D3" s="32" t="s">
        <v>86</v>
      </c>
      <c r="E3" s="33">
        <v>254.53782800952601</v>
      </c>
    </row>
    <row r="4" spans="2:14" ht="18.75" x14ac:dyDescent="0.3">
      <c r="B4" s="30" t="s">
        <v>45</v>
      </c>
      <c r="C4" s="31" t="s">
        <v>46</v>
      </c>
      <c r="D4" s="32" t="s">
        <v>86</v>
      </c>
      <c r="E4" s="33">
        <v>254.53870726617399</v>
      </c>
    </row>
    <row r="5" spans="2:14" ht="18.75" x14ac:dyDescent="0.3">
      <c r="B5" s="34" t="s">
        <v>47</v>
      </c>
      <c r="C5" s="35" t="s">
        <v>48</v>
      </c>
      <c r="D5" s="32" t="s">
        <v>86</v>
      </c>
      <c r="E5" s="36">
        <v>242.799228873001</v>
      </c>
    </row>
    <row r="6" spans="2:14" ht="18.75" x14ac:dyDescent="0.3">
      <c r="B6" s="34" t="s">
        <v>49</v>
      </c>
      <c r="C6" s="35" t="s">
        <v>50</v>
      </c>
      <c r="D6" s="32" t="s">
        <v>86</v>
      </c>
      <c r="E6" s="36">
        <v>213.14245743780199</v>
      </c>
    </row>
    <row r="7" spans="2:14" ht="18.75" x14ac:dyDescent="0.3">
      <c r="B7" s="34" t="s">
        <v>41</v>
      </c>
      <c r="C7" s="35" t="s">
        <v>85</v>
      </c>
      <c r="D7" s="32" t="s">
        <v>86</v>
      </c>
      <c r="E7" s="36">
        <v>182.27101578756501</v>
      </c>
    </row>
    <row r="8" spans="2:14" ht="18.75" x14ac:dyDescent="0.3">
      <c r="B8" s="30" t="s">
        <v>52</v>
      </c>
      <c r="C8" s="31" t="s">
        <v>53</v>
      </c>
      <c r="D8" s="32" t="s">
        <v>86</v>
      </c>
      <c r="E8" s="33">
        <v>151.07132192962499</v>
      </c>
    </row>
    <row r="9" spans="2:14" ht="18.75" x14ac:dyDescent="0.3">
      <c r="B9" s="30" t="s">
        <v>54</v>
      </c>
      <c r="C9" s="31" t="s">
        <v>55</v>
      </c>
      <c r="D9" s="32" t="s">
        <v>86</v>
      </c>
      <c r="E9" s="33">
        <v>131.442238586613</v>
      </c>
    </row>
    <row r="10" spans="2:14" ht="18.75" x14ac:dyDescent="0.3">
      <c r="B10" s="30" t="s">
        <v>56</v>
      </c>
      <c r="C10" s="31" t="s">
        <v>57</v>
      </c>
      <c r="D10" s="32" t="s">
        <v>86</v>
      </c>
      <c r="E10" s="33">
        <v>127.488385921014</v>
      </c>
    </row>
    <row r="11" spans="2:14" ht="19.5" thickBot="1" x14ac:dyDescent="0.35">
      <c r="B11" s="37" t="s">
        <v>58</v>
      </c>
      <c r="C11" s="38" t="s">
        <v>59</v>
      </c>
      <c r="D11" s="39" t="s">
        <v>86</v>
      </c>
      <c r="E11" s="40">
        <v>127.503211553269</v>
      </c>
    </row>
    <row r="12" spans="2:14" ht="2.25" customHeight="1" thickTop="1" x14ac:dyDescent="0.25"/>
    <row r="14" spans="2:14" ht="2.25" customHeight="1" x14ac:dyDescent="0.25"/>
    <row r="15" spans="2:14" ht="2.25" customHeight="1" thickBot="1" x14ac:dyDescent="0.3"/>
    <row r="16" spans="2:14" ht="18.75" thickBot="1" x14ac:dyDescent="0.3">
      <c r="J16" s="48"/>
      <c r="K16" s="49"/>
      <c r="L16" s="49">
        <v>100</v>
      </c>
      <c r="M16" s="49">
        <v>1000</v>
      </c>
      <c r="N16" s="50">
        <v>10000</v>
      </c>
    </row>
    <row r="17" spans="10:26" ht="18" x14ac:dyDescent="0.25">
      <c r="J17" s="41" t="s">
        <v>81</v>
      </c>
      <c r="K17" s="51" t="s">
        <v>86</v>
      </c>
      <c r="L17" s="32" t="s">
        <v>75</v>
      </c>
      <c r="M17" s="32" t="s">
        <v>75</v>
      </c>
      <c r="N17" s="42" t="s">
        <v>75</v>
      </c>
    </row>
    <row r="18" spans="10:26" ht="18" x14ac:dyDescent="0.25">
      <c r="J18" s="41" t="s">
        <v>82</v>
      </c>
      <c r="K18" s="51" t="s">
        <v>86</v>
      </c>
      <c r="L18" s="32">
        <v>0.1</v>
      </c>
      <c r="M18" s="32">
        <v>0.1</v>
      </c>
      <c r="N18" s="42">
        <v>0.1</v>
      </c>
    </row>
    <row r="19" spans="10:26" ht="18" x14ac:dyDescent="0.25">
      <c r="J19" s="41" t="s">
        <v>77</v>
      </c>
      <c r="K19" s="51" t="s">
        <v>86</v>
      </c>
      <c r="L19" s="32">
        <v>0.63</v>
      </c>
      <c r="M19" s="32">
        <v>0.73</v>
      </c>
      <c r="N19" s="42">
        <v>0.88</v>
      </c>
    </row>
    <row r="20" spans="10:26" ht="18" x14ac:dyDescent="0.25">
      <c r="J20" s="41" t="s">
        <v>78</v>
      </c>
      <c r="K20" s="51" t="s">
        <v>86</v>
      </c>
      <c r="L20" s="32">
        <v>0.4</v>
      </c>
      <c r="M20" s="32">
        <v>0.4</v>
      </c>
      <c r="N20" s="42">
        <v>0.4</v>
      </c>
    </row>
    <row r="21" spans="10:26" ht="18" x14ac:dyDescent="0.25">
      <c r="J21" s="41" t="s">
        <v>80</v>
      </c>
      <c r="K21" s="51" t="s">
        <v>86</v>
      </c>
      <c r="L21" s="43">
        <f>$F$11+L18+L19</f>
        <v>0.73</v>
      </c>
      <c r="M21" s="43">
        <f t="shared" ref="M21:N21" si="0">$F$11+M18+M19</f>
        <v>0.83</v>
      </c>
      <c r="N21" s="44">
        <f t="shared" si="0"/>
        <v>0.98</v>
      </c>
    </row>
    <row r="22" spans="10:26" ht="18.75" thickBot="1" x14ac:dyDescent="0.3">
      <c r="J22" s="45" t="s">
        <v>79</v>
      </c>
      <c r="K22" s="52" t="s">
        <v>86</v>
      </c>
      <c r="L22" s="46">
        <f>L21+L20</f>
        <v>1.1299999999999999</v>
      </c>
      <c r="M22" s="46">
        <f t="shared" ref="M22:N22" si="1">M21+M20</f>
        <v>1.23</v>
      </c>
      <c r="N22" s="47">
        <f t="shared" si="1"/>
        <v>1.38</v>
      </c>
    </row>
    <row r="23" spans="10:26" ht="2.25" customHeight="1" thickTop="1" x14ac:dyDescent="0.25"/>
    <row r="31" spans="10:26" ht="2.25" customHeight="1" x14ac:dyDescent="0.25"/>
    <row r="32" spans="10:26" ht="15.75" x14ac:dyDescent="0.25">
      <c r="T32" s="55" t="s">
        <v>18</v>
      </c>
      <c r="U32" s="55" t="s">
        <v>1</v>
      </c>
      <c r="V32" s="55" t="s">
        <v>87</v>
      </c>
      <c r="W32" s="55" t="s">
        <v>2</v>
      </c>
      <c r="X32" s="55" t="s">
        <v>3</v>
      </c>
      <c r="Y32" s="55" t="s">
        <v>22</v>
      </c>
      <c r="Z32" s="56" t="s">
        <v>84</v>
      </c>
    </row>
    <row r="33" spans="20:26" ht="15.75" x14ac:dyDescent="0.25">
      <c r="T33" s="54" t="s">
        <v>5</v>
      </c>
      <c r="U33" s="54">
        <v>100</v>
      </c>
      <c r="V33" s="54">
        <v>90</v>
      </c>
      <c r="W33" s="57">
        <v>2.0232976456803993</v>
      </c>
      <c r="X33" s="57">
        <v>7.09201775142607</v>
      </c>
      <c r="Y33" s="57">
        <v>11.6922404813588</v>
      </c>
      <c r="Z33" s="53">
        <v>1.7352821308543596</v>
      </c>
    </row>
    <row r="34" spans="20:26" ht="15.75" x14ac:dyDescent="0.25">
      <c r="T34" s="54" t="s">
        <v>5</v>
      </c>
      <c r="U34" s="54">
        <v>1000</v>
      </c>
      <c r="V34" s="54">
        <v>90</v>
      </c>
      <c r="W34" s="57">
        <v>2.3309134335445862</v>
      </c>
      <c r="X34" s="57">
        <v>7.7819171350003797</v>
      </c>
      <c r="Y34" s="57">
        <v>12.697282008265582</v>
      </c>
      <c r="Z34" s="53">
        <v>1.8352821308543597</v>
      </c>
    </row>
    <row r="35" spans="20:26" ht="15.75" x14ac:dyDescent="0.25">
      <c r="T35" s="54" t="s">
        <v>5</v>
      </c>
      <c r="U35" s="54">
        <v>10000</v>
      </c>
      <c r="V35" s="54">
        <v>90</v>
      </c>
      <c r="W35" s="57">
        <v>2.6353451260917664</v>
      </c>
      <c r="X35" s="57">
        <v>8.2853999107662606</v>
      </c>
      <c r="Y35" s="57">
        <v>13.65923704587915</v>
      </c>
      <c r="Z35" s="53">
        <v>1.9852821308543596</v>
      </c>
    </row>
    <row r="36" spans="20:26" ht="15.75" x14ac:dyDescent="0.25">
      <c r="T36" s="54" t="s">
        <v>6</v>
      </c>
      <c r="U36" s="54">
        <v>100</v>
      </c>
      <c r="V36" s="54">
        <v>67.5</v>
      </c>
      <c r="W36" s="57">
        <v>1.3499456005671022</v>
      </c>
      <c r="X36" s="57">
        <v>7.0725238593841997</v>
      </c>
      <c r="Y36" s="57">
        <v>10.018799411418051</v>
      </c>
      <c r="Z36" s="53">
        <v>1.7352821308543596</v>
      </c>
    </row>
    <row r="37" spans="20:26" ht="15.75" x14ac:dyDescent="0.25">
      <c r="T37" s="54" t="s">
        <v>6</v>
      </c>
      <c r="U37" s="54">
        <v>1000</v>
      </c>
      <c r="V37" s="54">
        <v>67.5</v>
      </c>
      <c r="W37" s="57">
        <v>1.5149102093819871</v>
      </c>
      <c r="X37" s="57">
        <v>7.7665020253903503</v>
      </c>
      <c r="Y37" s="57">
        <v>10.690217593753589</v>
      </c>
      <c r="Z37" s="53">
        <v>1.8352821308543597</v>
      </c>
    </row>
    <row r="38" spans="20:26" ht="15.75" x14ac:dyDescent="0.25">
      <c r="T38" s="54" t="s">
        <v>6</v>
      </c>
      <c r="U38" s="54">
        <v>10000</v>
      </c>
      <c r="V38" s="54">
        <v>67.5</v>
      </c>
      <c r="W38" s="57">
        <v>1.671130639502467</v>
      </c>
      <c r="X38" s="57">
        <v>8.2947862679058808</v>
      </c>
      <c r="Y38" s="57">
        <v>11.32454065692697</v>
      </c>
      <c r="Z38" s="53">
        <v>1.9852821308543596</v>
      </c>
    </row>
    <row r="39" spans="20:26" ht="15.75" x14ac:dyDescent="0.25">
      <c r="T39" s="54" t="s">
        <v>15</v>
      </c>
      <c r="U39" s="54">
        <v>100</v>
      </c>
      <c r="V39" s="54">
        <v>0</v>
      </c>
      <c r="W39" s="57">
        <v>1.5560370668902292</v>
      </c>
      <c r="X39" s="57">
        <v>5.9706564608304697</v>
      </c>
      <c r="Y39" s="57">
        <v>7.7284024060145979</v>
      </c>
      <c r="Z39" s="53">
        <v>1.7352821308543596</v>
      </c>
    </row>
    <row r="40" spans="20:26" ht="15.75" x14ac:dyDescent="0.25">
      <c r="T40" s="54" t="s">
        <v>15</v>
      </c>
      <c r="U40" s="54">
        <v>1000</v>
      </c>
      <c r="V40" s="54">
        <v>0</v>
      </c>
      <c r="W40" s="57">
        <v>1.981885791002062</v>
      </c>
      <c r="X40" s="57">
        <v>5.9706564608304697</v>
      </c>
      <c r="Y40" s="57">
        <v>8.7925636849213031</v>
      </c>
      <c r="Z40" s="53">
        <v>1.8352821308543597</v>
      </c>
    </row>
    <row r="41" spans="20:26" ht="15.75" x14ac:dyDescent="0.25">
      <c r="T41" s="54" t="s">
        <v>15</v>
      </c>
      <c r="U41" s="54">
        <v>10000</v>
      </c>
      <c r="V41" s="54">
        <v>0</v>
      </c>
      <c r="W41" s="57">
        <v>2.3786232758630654</v>
      </c>
      <c r="X41" s="57">
        <v>5.9706564608304697</v>
      </c>
      <c r="Y41" s="57">
        <v>9.8220177838163263</v>
      </c>
      <c r="Z41" s="53">
        <v>1.9852821308543596</v>
      </c>
    </row>
    <row r="42" spans="20:26" ht="15.75" x14ac:dyDescent="0.25">
      <c r="T42" s="54" t="s">
        <v>16</v>
      </c>
      <c r="U42" s="54">
        <v>100</v>
      </c>
      <c r="V42" s="54">
        <v>45</v>
      </c>
      <c r="W42" s="57">
        <v>0.57105921122134395</v>
      </c>
      <c r="X42" s="57">
        <v>5.9211942370460902</v>
      </c>
      <c r="Y42" s="57">
        <v>9.3462656119104039</v>
      </c>
      <c r="Z42" s="53">
        <v>1.7352821308543596</v>
      </c>
    </row>
    <row r="43" spans="20:26" ht="15.75" x14ac:dyDescent="0.25">
      <c r="T43" s="54" t="s">
        <v>16</v>
      </c>
      <c r="U43" s="54">
        <v>1000</v>
      </c>
      <c r="V43" s="54">
        <v>45</v>
      </c>
      <c r="W43" s="57">
        <v>0.64296795118520256</v>
      </c>
      <c r="X43" s="57">
        <v>5.0907490764988399</v>
      </c>
      <c r="Y43" s="57">
        <v>10.499181164830997</v>
      </c>
      <c r="Z43" s="53">
        <v>1.8352821308543597</v>
      </c>
    </row>
    <row r="44" spans="20:26" ht="15.75" x14ac:dyDescent="0.25">
      <c r="T44" s="54" t="s">
        <v>16</v>
      </c>
      <c r="U44" s="54">
        <v>10000</v>
      </c>
      <c r="V44" s="54">
        <v>45</v>
      </c>
      <c r="W44" s="57">
        <v>0.71158281905317755</v>
      </c>
      <c r="X44" s="57">
        <v>5.0907490764988399</v>
      </c>
      <c r="Y44" s="57">
        <v>11.62440019133558</v>
      </c>
      <c r="Z44" s="53">
        <v>1.9852821308543596</v>
      </c>
    </row>
    <row r="45" spans="20:26" ht="15.75" x14ac:dyDescent="0.25">
      <c r="T45" s="54" t="s">
        <v>11</v>
      </c>
      <c r="U45" s="54">
        <v>100</v>
      </c>
      <c r="V45" s="54">
        <v>22.5</v>
      </c>
      <c r="W45" s="57">
        <v>0.63049465207867827</v>
      </c>
      <c r="X45" s="57">
        <v>5.5308756099502396</v>
      </c>
      <c r="Y45" s="57">
        <v>7.3771670731639984</v>
      </c>
      <c r="Z45" s="53">
        <v>1.7352821308543596</v>
      </c>
    </row>
    <row r="46" spans="20:26" ht="15.75" x14ac:dyDescent="0.25">
      <c r="T46" s="54" t="s">
        <v>11</v>
      </c>
      <c r="U46" s="54">
        <v>1000</v>
      </c>
      <c r="V46" s="54">
        <v>22.5</v>
      </c>
      <c r="W46" s="57">
        <v>0.86172351476198139</v>
      </c>
      <c r="X46" s="57">
        <v>7.0811250088737498</v>
      </c>
      <c r="Y46" s="57">
        <v>8.2699565760731275</v>
      </c>
      <c r="Z46" s="53">
        <v>1.8352821308543597</v>
      </c>
    </row>
    <row r="47" spans="20:26" ht="15.75" x14ac:dyDescent="0.25">
      <c r="T47" s="54" t="s">
        <v>11</v>
      </c>
      <c r="U47" s="54">
        <v>10000</v>
      </c>
      <c r="V47" s="54">
        <v>22.5</v>
      </c>
      <c r="W47" s="57">
        <v>1.1145731593568662</v>
      </c>
      <c r="X47" s="57">
        <v>9.0565237529274807</v>
      </c>
      <c r="Y47" s="57">
        <v>9.1164124310291346</v>
      </c>
      <c r="Z47" s="53">
        <v>1.9852821308543596</v>
      </c>
    </row>
    <row r="48" spans="20:26" ht="15.75" x14ac:dyDescent="0.25">
      <c r="T48" s="54" t="s">
        <v>10</v>
      </c>
      <c r="U48" s="54">
        <v>100</v>
      </c>
      <c r="V48" s="54">
        <v>337.5</v>
      </c>
      <c r="W48" s="57">
        <v>2.2446881678638233</v>
      </c>
      <c r="X48" s="57">
        <v>6.3024919770935899</v>
      </c>
      <c r="Y48" s="57">
        <v>11.683778310158461</v>
      </c>
      <c r="Z48" s="53">
        <v>1.7352821308543596</v>
      </c>
    </row>
    <row r="49" spans="20:26" ht="15.75" x14ac:dyDescent="0.25">
      <c r="T49" s="54" t="s">
        <v>10</v>
      </c>
      <c r="U49" s="54">
        <v>1000</v>
      </c>
      <c r="V49" s="54">
        <v>337.5</v>
      </c>
      <c r="W49" s="57">
        <v>2.6236933126905382</v>
      </c>
      <c r="X49" s="57">
        <v>6.7185474354673298</v>
      </c>
      <c r="Y49" s="57">
        <v>13.22605618754277</v>
      </c>
      <c r="Z49" s="53">
        <v>1.8352821308543597</v>
      </c>
    </row>
    <row r="50" spans="20:26" ht="15.75" x14ac:dyDescent="0.25">
      <c r="T50" s="54" t="s">
        <v>10</v>
      </c>
      <c r="U50" s="54">
        <v>10000</v>
      </c>
      <c r="V50" s="54">
        <v>337.5</v>
      </c>
      <c r="W50" s="57">
        <v>2.9863563759452947</v>
      </c>
      <c r="X50" s="57">
        <v>7.1077362839366396</v>
      </c>
      <c r="Y50" s="57">
        <v>14.709382699576842</v>
      </c>
      <c r="Z50" s="53">
        <v>1.9852821308543596</v>
      </c>
    </row>
    <row r="51" spans="20:26" ht="15.75" x14ac:dyDescent="0.25">
      <c r="T51" s="54" t="s">
        <v>7</v>
      </c>
      <c r="U51" s="54">
        <v>100</v>
      </c>
      <c r="V51" s="54">
        <v>315</v>
      </c>
      <c r="W51" s="57">
        <v>2.2211917935268159</v>
      </c>
      <c r="X51" s="57">
        <v>6.4845101367427</v>
      </c>
      <c r="Y51" s="57">
        <v>13.964500539825991</v>
      </c>
      <c r="Z51" s="53">
        <v>1.7352821308543596</v>
      </c>
    </row>
    <row r="52" spans="20:26" ht="15.75" x14ac:dyDescent="0.25">
      <c r="T52" s="54" t="s">
        <v>7</v>
      </c>
      <c r="U52" s="54">
        <v>1000</v>
      </c>
      <c r="V52" s="54">
        <v>315</v>
      </c>
      <c r="W52" s="57">
        <v>2.5276697251010702</v>
      </c>
      <c r="X52" s="57">
        <v>6.9758160206856497</v>
      </c>
      <c r="Y52" s="57">
        <v>15.654277014364451</v>
      </c>
      <c r="Z52" s="53">
        <v>1.8352821308543597</v>
      </c>
    </row>
    <row r="53" spans="20:26" ht="15.75" x14ac:dyDescent="0.25">
      <c r="T53" s="54" t="s">
        <v>7</v>
      </c>
      <c r="U53" s="54">
        <v>10000</v>
      </c>
      <c r="V53" s="54">
        <v>315</v>
      </c>
      <c r="W53" s="57">
        <v>2.81895842213051</v>
      </c>
      <c r="X53" s="57">
        <v>7.4588088101752303</v>
      </c>
      <c r="Y53" s="57">
        <v>17.319392371425433</v>
      </c>
      <c r="Z53" s="53">
        <v>1.9852821308543596</v>
      </c>
    </row>
    <row r="54" spans="20:26" ht="15.75" x14ac:dyDescent="0.25">
      <c r="T54" s="54" t="s">
        <v>8</v>
      </c>
      <c r="U54" s="54">
        <v>100</v>
      </c>
      <c r="V54" s="54">
        <v>270</v>
      </c>
      <c r="W54" s="57">
        <v>1.9186854342664912</v>
      </c>
      <c r="X54" s="57">
        <v>5.6601108604294001</v>
      </c>
      <c r="Y54" s="57">
        <v>14.056630089298721</v>
      </c>
      <c r="Z54" s="53">
        <v>1.7352821308543596</v>
      </c>
    </row>
    <row r="55" spans="20:26" ht="15.75" x14ac:dyDescent="0.25">
      <c r="T55" s="54" t="s">
        <v>8</v>
      </c>
      <c r="U55" s="54">
        <v>1000</v>
      </c>
      <c r="V55" s="54">
        <v>270</v>
      </c>
      <c r="W55" s="57">
        <v>2.3484382703478732</v>
      </c>
      <c r="X55" s="57">
        <v>6.3427180032369197</v>
      </c>
      <c r="Y55" s="57">
        <v>15.579290769613781</v>
      </c>
      <c r="Z55" s="53">
        <v>1.8352821308543597</v>
      </c>
    </row>
    <row r="56" spans="20:26" ht="15.75" x14ac:dyDescent="0.25">
      <c r="T56" s="54" t="s">
        <v>8</v>
      </c>
      <c r="U56" s="54">
        <v>10000</v>
      </c>
      <c r="V56" s="54">
        <v>270</v>
      </c>
      <c r="W56" s="57">
        <v>2.7881757480576783</v>
      </c>
      <c r="X56" s="57">
        <v>6.98969280476918</v>
      </c>
      <c r="Y56" s="57">
        <v>17.058891936725981</v>
      </c>
      <c r="Z56" s="53">
        <v>1.9852821308543596</v>
      </c>
    </row>
    <row r="57" spans="20:26" ht="15.75" x14ac:dyDescent="0.25">
      <c r="T57" s="54" t="s">
        <v>9</v>
      </c>
      <c r="U57" s="54">
        <v>100</v>
      </c>
      <c r="V57" s="54">
        <v>292.5</v>
      </c>
      <c r="W57" s="57">
        <v>1.8032983632756843</v>
      </c>
      <c r="X57" s="57">
        <v>5.7452126932220402</v>
      </c>
      <c r="Y57" s="57">
        <v>13.72141150441435</v>
      </c>
      <c r="Z57" s="53">
        <v>1.7352821308543596</v>
      </c>
    </row>
    <row r="58" spans="20:26" ht="15.75" x14ac:dyDescent="0.25">
      <c r="T58" s="54" t="s">
        <v>9</v>
      </c>
      <c r="U58" s="54">
        <v>1000</v>
      </c>
      <c r="V58" s="54">
        <v>292.5</v>
      </c>
      <c r="W58" s="57">
        <v>2.1106559691149132</v>
      </c>
      <c r="X58" s="57">
        <v>6.3075895807572202</v>
      </c>
      <c r="Y58" s="57">
        <v>15.165060466017112</v>
      </c>
      <c r="Z58" s="53">
        <v>1.8352821308543597</v>
      </c>
    </row>
    <row r="59" spans="20:26" ht="15.75" x14ac:dyDescent="0.25">
      <c r="T59" s="54" t="s">
        <v>9</v>
      </c>
      <c r="U59" s="54">
        <v>10000</v>
      </c>
      <c r="V59" s="54">
        <v>292.5</v>
      </c>
      <c r="W59" s="57">
        <v>2.4133600656130132</v>
      </c>
      <c r="X59" s="57">
        <v>6.8372784565228102</v>
      </c>
      <c r="Y59" s="57">
        <v>16.573812184710881</v>
      </c>
      <c r="Z59" s="53">
        <v>1.9852821308543596</v>
      </c>
    </row>
    <row r="60" spans="20:26" ht="2.25" customHeight="1" x14ac:dyDescent="0.25"/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18086-8628-4BB0-979D-DE01F3D13F4F}">
  <sheetPr>
    <tabColor rgb="FFFF0000"/>
  </sheetPr>
  <dimension ref="A1:F28"/>
  <sheetViews>
    <sheetView showGridLines="0" workbookViewId="0">
      <selection activeCell="H11" sqref="H11"/>
    </sheetView>
  </sheetViews>
  <sheetFormatPr defaultRowHeight="15" x14ac:dyDescent="0.25"/>
  <cols>
    <col min="5" max="5" width="13.42578125" bestFit="1" customWidth="1"/>
    <col min="6" max="6" width="11.2851562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17</v>
      </c>
    </row>
    <row r="2" spans="1:6" x14ac:dyDescent="0.25">
      <c r="A2" s="4" t="s">
        <v>5</v>
      </c>
      <c r="B2" s="4">
        <v>100</v>
      </c>
      <c r="C2" s="3">
        <v>1.83936149607309</v>
      </c>
      <c r="D2" s="3">
        <v>7.09201775142607</v>
      </c>
      <c r="E2" s="4">
        <v>90</v>
      </c>
      <c r="F2" s="3">
        <f t="shared" ref="F2:F28" si="0">C2*1.1</f>
        <v>2.0232976456803993</v>
      </c>
    </row>
    <row r="3" spans="1:6" x14ac:dyDescent="0.25">
      <c r="A3" s="4" t="s">
        <v>5</v>
      </c>
      <c r="B3" s="4">
        <v>1000</v>
      </c>
      <c r="C3" s="3">
        <v>2.11901221231326</v>
      </c>
      <c r="D3" s="3">
        <v>7.7819171350003797</v>
      </c>
      <c r="E3" s="4">
        <v>90</v>
      </c>
      <c r="F3" s="3">
        <f t="shared" si="0"/>
        <v>2.3309134335445862</v>
      </c>
    </row>
    <row r="4" spans="1:6" x14ac:dyDescent="0.25">
      <c r="A4" s="4" t="s">
        <v>5</v>
      </c>
      <c r="B4" s="4">
        <v>10000</v>
      </c>
      <c r="C4" s="3">
        <v>2.3957682964470601</v>
      </c>
      <c r="D4" s="3">
        <v>8.2853999107662606</v>
      </c>
      <c r="E4" s="4">
        <v>90</v>
      </c>
      <c r="F4" s="3">
        <f t="shared" si="0"/>
        <v>2.6353451260917664</v>
      </c>
    </row>
    <row r="5" spans="1:6" x14ac:dyDescent="0.25">
      <c r="A5" s="4" t="s">
        <v>6</v>
      </c>
      <c r="B5" s="4">
        <v>100</v>
      </c>
      <c r="C5" s="3">
        <v>1.2272232732428201</v>
      </c>
      <c r="D5" s="3">
        <v>7.0725238593841997</v>
      </c>
      <c r="E5" s="4">
        <v>67.5</v>
      </c>
      <c r="F5" s="3">
        <f t="shared" si="0"/>
        <v>1.3499456005671022</v>
      </c>
    </row>
    <row r="6" spans="1:6" x14ac:dyDescent="0.25">
      <c r="A6" s="4" t="s">
        <v>6</v>
      </c>
      <c r="B6" s="4">
        <v>1000</v>
      </c>
      <c r="C6" s="3">
        <v>1.37719109943817</v>
      </c>
      <c r="D6" s="3">
        <v>7.7665020253903503</v>
      </c>
      <c r="E6" s="4">
        <v>67.5</v>
      </c>
      <c r="F6" s="3">
        <f t="shared" si="0"/>
        <v>1.5149102093819871</v>
      </c>
    </row>
    <row r="7" spans="1:6" x14ac:dyDescent="0.25">
      <c r="A7" s="4" t="s">
        <v>6</v>
      </c>
      <c r="B7" s="4">
        <v>10000</v>
      </c>
      <c r="C7" s="3">
        <v>1.5192096722749699</v>
      </c>
      <c r="D7" s="3">
        <v>8.2947862679058808</v>
      </c>
      <c r="E7" s="4">
        <v>67.5</v>
      </c>
      <c r="F7" s="3">
        <f t="shared" si="0"/>
        <v>1.671130639502467</v>
      </c>
    </row>
    <row r="8" spans="1:6" x14ac:dyDescent="0.25">
      <c r="A8" s="4" t="s">
        <v>15</v>
      </c>
      <c r="B8" s="4">
        <v>100</v>
      </c>
      <c r="C8" s="3">
        <v>1.4145791517183901</v>
      </c>
      <c r="D8" s="3">
        <v>5.9706564608304697</v>
      </c>
      <c r="E8" s="4">
        <v>0</v>
      </c>
      <c r="F8" s="3">
        <f t="shared" si="0"/>
        <v>1.5560370668902292</v>
      </c>
    </row>
    <row r="9" spans="1:6" x14ac:dyDescent="0.25">
      <c r="A9" s="4" t="s">
        <v>15</v>
      </c>
      <c r="B9" s="4">
        <v>1000</v>
      </c>
      <c r="C9" s="3">
        <v>1.8017143554564199</v>
      </c>
      <c r="D9" s="3">
        <v>5.9706564608304697</v>
      </c>
      <c r="E9" s="4">
        <v>0</v>
      </c>
      <c r="F9" s="3">
        <f t="shared" si="0"/>
        <v>1.981885791002062</v>
      </c>
    </row>
    <row r="10" spans="1:6" x14ac:dyDescent="0.25">
      <c r="A10" s="4" t="s">
        <v>15</v>
      </c>
      <c r="B10" s="4">
        <v>10000</v>
      </c>
      <c r="C10" s="3">
        <v>2.16238479623915</v>
      </c>
      <c r="D10" s="3">
        <v>5.9706564608304697</v>
      </c>
      <c r="E10" s="4">
        <v>0</v>
      </c>
      <c r="F10" s="3">
        <f t="shared" si="0"/>
        <v>2.3786232758630654</v>
      </c>
    </row>
    <row r="11" spans="1:6" x14ac:dyDescent="0.25">
      <c r="A11" s="4" t="s">
        <v>16</v>
      </c>
      <c r="B11" s="4">
        <v>100</v>
      </c>
      <c r="C11" s="3">
        <v>0.51914473747394896</v>
      </c>
      <c r="D11" s="3">
        <v>5.9211942370460902</v>
      </c>
      <c r="E11" s="4">
        <v>45</v>
      </c>
      <c r="F11" s="3">
        <f t="shared" si="0"/>
        <v>0.57105921122134395</v>
      </c>
    </row>
    <row r="12" spans="1:6" x14ac:dyDescent="0.25">
      <c r="A12" s="4" t="s">
        <v>16</v>
      </c>
      <c r="B12" s="4">
        <v>1000</v>
      </c>
      <c r="C12" s="3">
        <v>0.58451631925927505</v>
      </c>
      <c r="D12" s="3">
        <v>5.0907490764988399</v>
      </c>
      <c r="E12" s="4">
        <v>45</v>
      </c>
      <c r="F12" s="3">
        <f t="shared" si="0"/>
        <v>0.64296795118520256</v>
      </c>
    </row>
    <row r="13" spans="1:6" x14ac:dyDescent="0.25">
      <c r="A13" s="4" t="s">
        <v>16</v>
      </c>
      <c r="B13" s="4">
        <v>10000</v>
      </c>
      <c r="C13" s="3">
        <v>0.64689347186652502</v>
      </c>
      <c r="D13" s="3">
        <v>5.0907490764988399</v>
      </c>
      <c r="E13" s="4">
        <v>45</v>
      </c>
      <c r="F13" s="3">
        <f t="shared" si="0"/>
        <v>0.71158281905317755</v>
      </c>
    </row>
    <row r="14" spans="1:6" x14ac:dyDescent="0.25">
      <c r="A14" s="4" t="s">
        <v>11</v>
      </c>
      <c r="B14" s="4">
        <v>100</v>
      </c>
      <c r="C14" s="3">
        <v>0.57317695643516198</v>
      </c>
      <c r="D14" s="3">
        <v>5.5308756099502396</v>
      </c>
      <c r="E14" s="4">
        <v>22.5</v>
      </c>
      <c r="F14" s="3">
        <f t="shared" si="0"/>
        <v>0.63049465207867827</v>
      </c>
    </row>
    <row r="15" spans="1:6" x14ac:dyDescent="0.25">
      <c r="A15" s="4" t="s">
        <v>11</v>
      </c>
      <c r="B15" s="4">
        <v>1000</v>
      </c>
      <c r="C15" s="3">
        <v>0.78338501341998301</v>
      </c>
      <c r="D15" s="3">
        <v>7.0811250088737498</v>
      </c>
      <c r="E15" s="4">
        <v>22.5</v>
      </c>
      <c r="F15" s="3">
        <f t="shared" si="0"/>
        <v>0.86172351476198139</v>
      </c>
    </row>
    <row r="16" spans="1:6" x14ac:dyDescent="0.25">
      <c r="A16" s="4" t="s">
        <v>11</v>
      </c>
      <c r="B16" s="4">
        <v>10000</v>
      </c>
      <c r="C16" s="3">
        <v>1.0132483266880601</v>
      </c>
      <c r="D16" s="3">
        <v>9.0565237529274807</v>
      </c>
      <c r="E16" s="4">
        <v>22.5</v>
      </c>
      <c r="F16" s="3">
        <f t="shared" si="0"/>
        <v>1.1145731593568662</v>
      </c>
    </row>
    <row r="17" spans="1:6" x14ac:dyDescent="0.25">
      <c r="A17" s="4" t="s">
        <v>10</v>
      </c>
      <c r="B17" s="4">
        <v>100</v>
      </c>
      <c r="C17" s="3">
        <v>2.0406256071489302</v>
      </c>
      <c r="D17" s="3">
        <v>6.3024919770935899</v>
      </c>
      <c r="E17" s="4">
        <v>337.5</v>
      </c>
      <c r="F17" s="3">
        <f t="shared" si="0"/>
        <v>2.2446881678638233</v>
      </c>
    </row>
    <row r="18" spans="1:6" x14ac:dyDescent="0.25">
      <c r="A18" s="4" t="s">
        <v>10</v>
      </c>
      <c r="B18" s="4">
        <v>1000</v>
      </c>
      <c r="C18" s="3">
        <v>2.38517573880958</v>
      </c>
      <c r="D18" s="3">
        <v>6.7185474354673298</v>
      </c>
      <c r="E18" s="4">
        <v>337.5</v>
      </c>
      <c r="F18" s="3">
        <f t="shared" si="0"/>
        <v>2.6236933126905382</v>
      </c>
    </row>
    <row r="19" spans="1:6" x14ac:dyDescent="0.25">
      <c r="A19" s="4" t="s">
        <v>10</v>
      </c>
      <c r="B19" s="4">
        <v>10000</v>
      </c>
      <c r="C19" s="3">
        <v>2.7148694326775402</v>
      </c>
      <c r="D19" s="3">
        <v>7.1077362839366396</v>
      </c>
      <c r="E19" s="4">
        <v>337.5</v>
      </c>
      <c r="F19" s="3">
        <f t="shared" si="0"/>
        <v>2.9863563759452947</v>
      </c>
    </row>
    <row r="20" spans="1:6" x14ac:dyDescent="0.25">
      <c r="A20" s="4" t="s">
        <v>7</v>
      </c>
      <c r="B20" s="4">
        <v>100</v>
      </c>
      <c r="C20" s="3">
        <v>2.0192652668425599</v>
      </c>
      <c r="D20" s="3">
        <v>6.4845101367427</v>
      </c>
      <c r="E20" s="4">
        <v>315</v>
      </c>
      <c r="F20" s="3">
        <f t="shared" si="0"/>
        <v>2.2211917935268159</v>
      </c>
    </row>
    <row r="21" spans="1:6" x14ac:dyDescent="0.25">
      <c r="A21" s="4" t="s">
        <v>7</v>
      </c>
      <c r="B21" s="4">
        <v>1000</v>
      </c>
      <c r="C21" s="3">
        <v>2.2978815682736999</v>
      </c>
      <c r="D21" s="3">
        <v>6.9758160206856497</v>
      </c>
      <c r="E21" s="4">
        <v>315</v>
      </c>
      <c r="F21" s="3">
        <f t="shared" si="0"/>
        <v>2.5276697251010702</v>
      </c>
    </row>
    <row r="22" spans="1:6" x14ac:dyDescent="0.25">
      <c r="A22" s="4" t="s">
        <v>7</v>
      </c>
      <c r="B22" s="4">
        <v>10000</v>
      </c>
      <c r="C22" s="3">
        <v>2.5626894746640998</v>
      </c>
      <c r="D22" s="3">
        <v>7.4588088101752303</v>
      </c>
      <c r="E22" s="4">
        <v>315</v>
      </c>
      <c r="F22" s="3">
        <f t="shared" si="0"/>
        <v>2.81895842213051</v>
      </c>
    </row>
    <row r="23" spans="1:6" x14ac:dyDescent="0.25">
      <c r="A23" s="4" t="s">
        <v>8</v>
      </c>
      <c r="B23" s="4">
        <v>100</v>
      </c>
      <c r="C23" s="3">
        <v>1.7442594856968101</v>
      </c>
      <c r="D23" s="3">
        <v>5.6601108604294001</v>
      </c>
      <c r="E23" s="4">
        <v>270</v>
      </c>
      <c r="F23" s="3">
        <f t="shared" si="0"/>
        <v>1.9186854342664912</v>
      </c>
    </row>
    <row r="24" spans="1:6" x14ac:dyDescent="0.25">
      <c r="A24" s="4" t="s">
        <v>8</v>
      </c>
      <c r="B24" s="4">
        <v>1000</v>
      </c>
      <c r="C24" s="3">
        <v>2.1349438821344302</v>
      </c>
      <c r="D24" s="3">
        <v>6.3427180032369197</v>
      </c>
      <c r="E24" s="4">
        <v>270</v>
      </c>
      <c r="F24" s="3">
        <f t="shared" si="0"/>
        <v>2.3484382703478732</v>
      </c>
    </row>
    <row r="25" spans="1:6" x14ac:dyDescent="0.25">
      <c r="A25" s="4" t="s">
        <v>8</v>
      </c>
      <c r="B25" s="4">
        <v>10000</v>
      </c>
      <c r="C25" s="3">
        <v>2.53470522550698</v>
      </c>
      <c r="D25" s="3">
        <v>6.98969280476918</v>
      </c>
      <c r="E25" s="4">
        <v>270</v>
      </c>
      <c r="F25" s="3">
        <f t="shared" si="0"/>
        <v>2.7881757480576783</v>
      </c>
    </row>
    <row r="26" spans="1:6" x14ac:dyDescent="0.25">
      <c r="A26" s="4" t="s">
        <v>9</v>
      </c>
      <c r="B26" s="4">
        <v>100</v>
      </c>
      <c r="C26" s="3">
        <v>1.6393621484324401</v>
      </c>
      <c r="D26" s="3">
        <v>5.7452126932220402</v>
      </c>
      <c r="E26" s="4">
        <v>292.5</v>
      </c>
      <c r="F26" s="3">
        <f t="shared" si="0"/>
        <v>1.8032983632756843</v>
      </c>
    </row>
    <row r="27" spans="1:6" x14ac:dyDescent="0.25">
      <c r="A27" s="4" t="s">
        <v>9</v>
      </c>
      <c r="B27" s="4">
        <v>1000</v>
      </c>
      <c r="C27" s="3">
        <v>1.9187781537408299</v>
      </c>
      <c r="D27" s="3">
        <v>6.3075895807572202</v>
      </c>
      <c r="E27" s="4">
        <v>292.5</v>
      </c>
      <c r="F27" s="3">
        <f t="shared" si="0"/>
        <v>2.1106559691149132</v>
      </c>
    </row>
    <row r="28" spans="1:6" x14ac:dyDescent="0.25">
      <c r="A28" s="4" t="s">
        <v>9</v>
      </c>
      <c r="B28" s="4">
        <v>10000</v>
      </c>
      <c r="C28" s="3">
        <v>2.1939636960118301</v>
      </c>
      <c r="D28" s="3">
        <v>6.8372784565228102</v>
      </c>
      <c r="E28" s="4">
        <v>292.5</v>
      </c>
      <c r="F28" s="3">
        <f t="shared" si="0"/>
        <v>2.4133600656130132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FDF5-CE18-471F-8CB5-DA48D7668978}">
  <sheetPr>
    <tabColor rgb="FFFF0000"/>
  </sheetPr>
  <dimension ref="A1:P28"/>
  <sheetViews>
    <sheetView workbookViewId="0">
      <selection activeCell="H11" sqref="H11"/>
    </sheetView>
  </sheetViews>
  <sheetFormatPr defaultRowHeight="15" x14ac:dyDescent="0.25"/>
  <cols>
    <col min="1" max="1" width="12.140625" style="1" bestFit="1" customWidth="1"/>
    <col min="2" max="2" width="7.7109375" style="1" bestFit="1" customWidth="1"/>
    <col min="3" max="3" width="13.5703125" style="1" bestFit="1" customWidth="1"/>
    <col min="4" max="5" width="12" style="1" bestFit="1" customWidth="1"/>
    <col min="6" max="6" width="13.28515625" style="1" bestFit="1" customWidth="1"/>
    <col min="7" max="7" width="16.7109375" style="1" bestFit="1" customWidth="1"/>
    <col min="8" max="8" width="11" style="1" bestFit="1" customWidth="1"/>
    <col min="9" max="9" width="11.7109375" style="1" bestFit="1" customWidth="1"/>
    <col min="10" max="10" width="15.7109375" style="1" bestFit="1" customWidth="1"/>
    <col min="11" max="11" width="10.5703125" style="1" bestFit="1" customWidth="1"/>
    <col min="12" max="12" width="17.7109375" style="1" bestFit="1" customWidth="1"/>
    <col min="13" max="13" width="14.140625" style="1" bestFit="1" customWidth="1"/>
    <col min="14" max="14" width="19.140625" style="1" bestFit="1" customWidth="1"/>
    <col min="15" max="15" width="15.5703125" style="1" bestFit="1" customWidth="1"/>
    <col min="16" max="16" width="19.42578125" style="1" bestFit="1" customWidth="1"/>
  </cols>
  <sheetData>
    <row r="1" spans="1:16" x14ac:dyDescent="0.25">
      <c r="A1" s="1" t="s">
        <v>18</v>
      </c>
      <c r="B1" s="1" t="s">
        <v>1</v>
      </c>
      <c r="C1" s="1" t="s">
        <v>19</v>
      </c>
      <c r="D1" s="1" t="s">
        <v>2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14</v>
      </c>
      <c r="J1" s="1" t="s">
        <v>13</v>
      </c>
      <c r="K1" s="1" t="s">
        <v>12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 x14ac:dyDescent="0.25">
      <c r="A2" s="1" t="s">
        <v>5</v>
      </c>
      <c r="B2" s="1">
        <v>100</v>
      </c>
      <c r="C2" s="1">
        <v>90</v>
      </c>
      <c r="D2" s="2">
        <v>1.8393826511478999</v>
      </c>
      <c r="E2" s="2">
        <v>7.0920517375551997</v>
      </c>
      <c r="F2" s="1">
        <v>90</v>
      </c>
      <c r="G2" s="2">
        <v>10.629309528507999</v>
      </c>
      <c r="H2" s="1">
        <v>1</v>
      </c>
      <c r="I2" s="1">
        <v>0.98499999999999999</v>
      </c>
      <c r="J2" s="1">
        <v>24</v>
      </c>
      <c r="K2" s="1">
        <v>9</v>
      </c>
      <c r="L2" s="1">
        <v>1.08964699148859</v>
      </c>
      <c r="M2" s="1">
        <v>180</v>
      </c>
      <c r="N2" s="1">
        <v>3.9137422984194998</v>
      </c>
      <c r="O2" s="1">
        <v>1.03154437892419</v>
      </c>
      <c r="P2" s="1">
        <v>0.13275194132538101</v>
      </c>
    </row>
    <row r="3" spans="1:16" x14ac:dyDescent="0.25">
      <c r="A3" s="1" t="s">
        <v>5</v>
      </c>
      <c r="B3" s="1">
        <v>1000</v>
      </c>
      <c r="C3" s="1">
        <v>90</v>
      </c>
      <c r="D3" s="2">
        <v>2.11903315689981</v>
      </c>
      <c r="E3" s="2">
        <v>7.5558533060104702</v>
      </c>
      <c r="F3" s="1">
        <v>90</v>
      </c>
      <c r="G3" s="2">
        <v>11.5429836438778</v>
      </c>
      <c r="H3" s="1">
        <v>1</v>
      </c>
      <c r="I3" s="1">
        <v>0.98499999999999999</v>
      </c>
      <c r="J3" s="1">
        <v>24</v>
      </c>
      <c r="K3" s="1">
        <v>9</v>
      </c>
      <c r="L3" s="1">
        <v>1.08964699148859</v>
      </c>
      <c r="M3" s="1">
        <v>180</v>
      </c>
      <c r="N3" s="1">
        <v>3.9137422984194998</v>
      </c>
      <c r="O3" s="1">
        <v>1.03154437892419</v>
      </c>
      <c r="P3" s="1">
        <v>0.13275194132538101</v>
      </c>
    </row>
    <row r="4" spans="1:16" x14ac:dyDescent="0.25">
      <c r="A4" s="1" t="s">
        <v>5</v>
      </c>
      <c r="B4" s="1">
        <v>10000</v>
      </c>
      <c r="C4" s="1">
        <v>90</v>
      </c>
      <c r="D4" s="2">
        <v>2.3957890843026401</v>
      </c>
      <c r="E4" s="2">
        <v>8.0447096774109301</v>
      </c>
      <c r="F4" s="1">
        <v>90</v>
      </c>
      <c r="G4" s="2">
        <v>12.417488223526499</v>
      </c>
      <c r="H4" s="1">
        <v>1</v>
      </c>
      <c r="I4" s="1">
        <v>0.98499999999999999</v>
      </c>
      <c r="J4" s="1">
        <v>24</v>
      </c>
      <c r="K4" s="1">
        <v>9</v>
      </c>
      <c r="L4" s="1">
        <v>1.08964699148859</v>
      </c>
      <c r="M4" s="1">
        <v>180</v>
      </c>
      <c r="N4" s="1">
        <v>3.9137422984194998</v>
      </c>
      <c r="O4" s="1">
        <v>1.03154437892419</v>
      </c>
      <c r="P4" s="1">
        <v>0.13275194132538101</v>
      </c>
    </row>
    <row r="5" spans="1:16" x14ac:dyDescent="0.25">
      <c r="A5" s="1" t="s">
        <v>6</v>
      </c>
      <c r="B5" s="1">
        <v>100</v>
      </c>
      <c r="C5" s="1">
        <v>67.5</v>
      </c>
      <c r="D5" s="2">
        <v>1.2272349412151899</v>
      </c>
      <c r="E5" s="2">
        <v>7.0725620977926704</v>
      </c>
      <c r="F5" s="1">
        <v>67.5</v>
      </c>
      <c r="G5" s="2">
        <v>9.1079994649255003</v>
      </c>
      <c r="H5" s="1">
        <v>1</v>
      </c>
      <c r="I5" s="1">
        <v>0.98499999999999999</v>
      </c>
      <c r="J5" s="1">
        <v>24</v>
      </c>
      <c r="K5" s="1">
        <v>9</v>
      </c>
      <c r="L5" s="1">
        <v>0.85958086978232695</v>
      </c>
      <c r="M5" s="1">
        <v>47</v>
      </c>
      <c r="N5" s="1">
        <v>1.0219216001428699</v>
      </c>
      <c r="O5" s="1">
        <v>1.18361239525721</v>
      </c>
      <c r="P5" s="1">
        <v>0.100868810990144</v>
      </c>
    </row>
    <row r="6" spans="1:16" x14ac:dyDescent="0.25">
      <c r="A6" s="1" t="s">
        <v>6</v>
      </c>
      <c r="B6" s="1">
        <v>1000</v>
      </c>
      <c r="C6" s="1">
        <v>67.5</v>
      </c>
      <c r="D6" s="2">
        <v>1.37720205703174</v>
      </c>
      <c r="E6" s="2">
        <v>7.5815162459332504</v>
      </c>
      <c r="F6" s="1">
        <v>67.5</v>
      </c>
      <c r="G6" s="2">
        <v>9.7183796306850798</v>
      </c>
      <c r="H6" s="1">
        <v>1</v>
      </c>
      <c r="I6" s="1">
        <v>0.98499999999999999</v>
      </c>
      <c r="J6" s="1">
        <v>24</v>
      </c>
      <c r="K6" s="1">
        <v>9</v>
      </c>
      <c r="L6" s="1">
        <v>0.85958086978232695</v>
      </c>
      <c r="M6" s="1">
        <v>47</v>
      </c>
      <c r="N6" s="1">
        <v>1.0219216001428699</v>
      </c>
      <c r="O6" s="1">
        <v>1.18361239525721</v>
      </c>
      <c r="P6" s="1">
        <v>0.100868810990144</v>
      </c>
    </row>
    <row r="7" spans="1:16" x14ac:dyDescent="0.25">
      <c r="A7" s="1" t="s">
        <v>6</v>
      </c>
      <c r="B7" s="1">
        <v>10000</v>
      </c>
      <c r="C7" s="1">
        <v>67.5</v>
      </c>
      <c r="D7" s="2">
        <v>1.51922015276552</v>
      </c>
      <c r="E7" s="2">
        <v>8.0972158042685507</v>
      </c>
      <c r="F7" s="1">
        <v>67.5</v>
      </c>
      <c r="G7" s="2">
        <v>10.295036960842699</v>
      </c>
      <c r="H7" s="1">
        <v>1</v>
      </c>
      <c r="I7" s="1">
        <v>0.98499999999999999</v>
      </c>
      <c r="J7" s="1">
        <v>24</v>
      </c>
      <c r="K7" s="1">
        <v>9</v>
      </c>
      <c r="L7" s="1">
        <v>0.85958086978232695</v>
      </c>
      <c r="M7" s="1">
        <v>47</v>
      </c>
      <c r="N7" s="1">
        <v>1.0219216001428699</v>
      </c>
      <c r="O7" s="1">
        <v>1.18361239525721</v>
      </c>
      <c r="P7" s="1">
        <v>0.100868810990144</v>
      </c>
    </row>
    <row r="8" spans="1:16" x14ac:dyDescent="0.25">
      <c r="A8" s="1" t="s">
        <v>15</v>
      </c>
      <c r="B8" s="1">
        <v>100</v>
      </c>
      <c r="C8" s="1">
        <v>0</v>
      </c>
      <c r="D8" s="2">
        <v>1.4146097053342499</v>
      </c>
      <c r="E8" s="2">
        <v>5.9706564608304697</v>
      </c>
      <c r="F8" s="1">
        <v>0</v>
      </c>
      <c r="G8" s="2">
        <v>7.0258203691041796</v>
      </c>
      <c r="H8" s="1">
        <v>1</v>
      </c>
      <c r="I8" s="1">
        <v>0.98499999999999999</v>
      </c>
      <c r="J8" s="1">
        <v>24</v>
      </c>
      <c r="K8" s="1">
        <v>9</v>
      </c>
      <c r="L8" s="1">
        <v>0.79825176457597202</v>
      </c>
      <c r="M8" s="1">
        <v>9</v>
      </c>
      <c r="N8" s="1">
        <v>0.19568711492097501</v>
      </c>
      <c r="O8" s="1">
        <v>1.1796515271160899</v>
      </c>
      <c r="P8" s="1">
        <v>0.245023987688616</v>
      </c>
    </row>
    <row r="9" spans="1:16" x14ac:dyDescent="0.25">
      <c r="A9" s="1" t="s">
        <v>15</v>
      </c>
      <c r="B9" s="1">
        <v>1000</v>
      </c>
      <c r="C9" s="1">
        <v>0</v>
      </c>
      <c r="D9" s="2">
        <v>1.8017423474015599</v>
      </c>
      <c r="E9" s="2">
        <v>5.9706564608304697</v>
      </c>
      <c r="F9" s="1">
        <v>0</v>
      </c>
      <c r="G9" s="2">
        <v>7.9932397135648197</v>
      </c>
      <c r="H9" s="1">
        <v>1</v>
      </c>
      <c r="I9" s="1">
        <v>0.98499999999999999</v>
      </c>
      <c r="J9" s="1">
        <v>24</v>
      </c>
      <c r="K9" s="1">
        <v>9</v>
      </c>
      <c r="L9" s="1">
        <v>0.79825176457597202</v>
      </c>
      <c r="M9" s="1">
        <v>9</v>
      </c>
      <c r="N9" s="1">
        <v>0.19568711492097501</v>
      </c>
      <c r="O9" s="1">
        <v>1.1796515271160899</v>
      </c>
      <c r="P9" s="1">
        <v>0.245023987688616</v>
      </c>
    </row>
    <row r="10" spans="1:16" x14ac:dyDescent="0.25">
      <c r="A10" s="1" t="s">
        <v>15</v>
      </c>
      <c r="B10" s="1">
        <v>10000</v>
      </c>
      <c r="C10" s="1">
        <v>0</v>
      </c>
      <c r="D10" s="2">
        <v>2.1624112858686102</v>
      </c>
      <c r="E10" s="2">
        <v>5.9706564608304697</v>
      </c>
      <c r="F10" s="1">
        <v>0</v>
      </c>
      <c r="G10" s="2">
        <v>8.9291070761966598</v>
      </c>
      <c r="H10" s="1">
        <v>1</v>
      </c>
      <c r="I10" s="1">
        <v>0.98499999999999999</v>
      </c>
      <c r="J10" s="1">
        <v>24</v>
      </c>
      <c r="K10" s="1">
        <v>9</v>
      </c>
      <c r="L10" s="1">
        <v>0.79825176457597202</v>
      </c>
      <c r="M10" s="1">
        <v>9</v>
      </c>
      <c r="N10" s="1">
        <v>0.19568711492097501</v>
      </c>
      <c r="O10" s="1">
        <v>1.1796515271160899</v>
      </c>
      <c r="P10" s="1">
        <v>0.245023987688616</v>
      </c>
    </row>
    <row r="11" spans="1:16" x14ac:dyDescent="0.25">
      <c r="A11" s="1" t="s">
        <v>16</v>
      </c>
      <c r="B11" s="1">
        <v>100</v>
      </c>
      <c r="C11" s="1">
        <v>45</v>
      </c>
      <c r="D11" s="2">
        <v>0.51914981281056805</v>
      </c>
      <c r="E11" s="2">
        <v>5.0907490764988399</v>
      </c>
      <c r="F11" s="1">
        <v>45</v>
      </c>
      <c r="G11" s="2">
        <v>8.4966051017367299</v>
      </c>
      <c r="H11" s="1">
        <v>1</v>
      </c>
      <c r="I11" s="1">
        <v>0.98499999999999999</v>
      </c>
      <c r="J11" s="1">
        <v>24</v>
      </c>
      <c r="K11" s="1">
        <v>9</v>
      </c>
      <c r="L11" s="1">
        <v>0.42275405900586899</v>
      </c>
      <c r="M11" s="1">
        <v>9</v>
      </c>
      <c r="N11" s="1">
        <v>0.19568711492097501</v>
      </c>
      <c r="O11" s="1">
        <v>1.11064620265877</v>
      </c>
      <c r="P11" s="1">
        <v>3.6186151946952003E-2</v>
      </c>
    </row>
    <row r="12" spans="1:16" x14ac:dyDescent="0.25">
      <c r="A12" s="1" t="s">
        <v>16</v>
      </c>
      <c r="B12" s="1">
        <v>1000</v>
      </c>
      <c r="C12" s="1">
        <v>45</v>
      </c>
      <c r="D12" s="2">
        <v>0.584521112039038</v>
      </c>
      <c r="E12" s="2">
        <v>5.0907490764988399</v>
      </c>
      <c r="F12" s="1">
        <v>45</v>
      </c>
      <c r="G12" s="2">
        <v>9.5447101498463596</v>
      </c>
      <c r="H12" s="1">
        <v>1</v>
      </c>
      <c r="I12" s="1">
        <v>0.98499999999999999</v>
      </c>
      <c r="J12" s="1">
        <v>24</v>
      </c>
      <c r="K12" s="1">
        <v>9</v>
      </c>
      <c r="L12" s="1">
        <v>0.42275405900586899</v>
      </c>
      <c r="M12" s="1">
        <v>9</v>
      </c>
      <c r="N12" s="1">
        <v>0.19568711492097501</v>
      </c>
      <c r="O12" s="1">
        <v>1.11064620265877</v>
      </c>
      <c r="P12" s="1">
        <v>3.6186151946952003E-2</v>
      </c>
    </row>
    <row r="13" spans="1:16" x14ac:dyDescent="0.25">
      <c r="A13" s="1" t="s">
        <v>16</v>
      </c>
      <c r="B13" s="1">
        <v>10000</v>
      </c>
      <c r="C13" s="1">
        <v>45</v>
      </c>
      <c r="D13" s="2">
        <v>0.64689809477875604</v>
      </c>
      <c r="E13" s="2">
        <v>5.0907490764988399</v>
      </c>
      <c r="F13" s="1">
        <v>45</v>
      </c>
      <c r="G13" s="2">
        <v>10.567636537577799</v>
      </c>
      <c r="H13" s="1">
        <v>1</v>
      </c>
      <c r="I13" s="1">
        <v>0.98499999999999999</v>
      </c>
      <c r="J13" s="1">
        <v>24</v>
      </c>
      <c r="K13" s="1">
        <v>9</v>
      </c>
      <c r="L13" s="1">
        <v>0.42275405900586899</v>
      </c>
      <c r="M13" s="1">
        <v>9</v>
      </c>
      <c r="N13" s="1">
        <v>0.19568711492097501</v>
      </c>
      <c r="O13" s="1">
        <v>1.11064620265877</v>
      </c>
      <c r="P13" s="1">
        <v>3.6186151946952003E-2</v>
      </c>
    </row>
    <row r="14" spans="1:16" x14ac:dyDescent="0.25">
      <c r="A14" s="1" t="s">
        <v>11</v>
      </c>
      <c r="B14" s="1">
        <v>100</v>
      </c>
      <c r="C14" s="1">
        <v>22.5</v>
      </c>
      <c r="D14" s="2">
        <v>0.57319180943954295</v>
      </c>
      <c r="E14" s="2">
        <v>5.5309635465924698</v>
      </c>
      <c r="F14" s="1">
        <v>22.5</v>
      </c>
      <c r="G14" s="2">
        <v>6.7065155210581802</v>
      </c>
      <c r="H14" s="1">
        <v>1</v>
      </c>
      <c r="I14" s="1">
        <v>0.98499999999999999</v>
      </c>
      <c r="J14" s="1">
        <v>24</v>
      </c>
      <c r="K14" s="1">
        <v>9</v>
      </c>
      <c r="L14" s="1">
        <v>0.34371256705005199</v>
      </c>
      <c r="M14" s="1">
        <v>12</v>
      </c>
      <c r="N14" s="1">
        <v>0.26091615322796602</v>
      </c>
      <c r="O14" s="1">
        <v>0.82364814092872096</v>
      </c>
      <c r="P14" s="1">
        <v>5.4725757083200599E-2</v>
      </c>
    </row>
    <row r="15" spans="1:16" x14ac:dyDescent="0.25">
      <c r="A15" s="1" t="s">
        <v>11</v>
      </c>
      <c r="B15" s="1">
        <v>1000</v>
      </c>
      <c r="C15" s="1">
        <v>22.5</v>
      </c>
      <c r="D15" s="2">
        <v>0.78340167121474502</v>
      </c>
      <c r="E15" s="2">
        <v>6.9266546244720404</v>
      </c>
      <c r="F15" s="1">
        <v>22.5</v>
      </c>
      <c r="G15" s="2">
        <v>7.5181423418846602</v>
      </c>
      <c r="H15" s="1">
        <v>1</v>
      </c>
      <c r="I15" s="1">
        <v>0.98499999999999999</v>
      </c>
      <c r="J15" s="1">
        <v>24</v>
      </c>
      <c r="K15" s="1">
        <v>9</v>
      </c>
      <c r="L15" s="1">
        <v>0.34371256705005199</v>
      </c>
      <c r="M15" s="1">
        <v>12</v>
      </c>
      <c r="N15" s="1">
        <v>0.26091615322796602</v>
      </c>
      <c r="O15" s="1">
        <v>0.82364814092872096</v>
      </c>
      <c r="P15" s="1">
        <v>5.4725757083200599E-2</v>
      </c>
    </row>
    <row r="16" spans="1:16" x14ac:dyDescent="0.25">
      <c r="A16" s="1" t="s">
        <v>11</v>
      </c>
      <c r="B16" s="1">
        <v>10000</v>
      </c>
      <c r="C16" s="1">
        <v>22.5</v>
      </c>
      <c r="D16" s="2">
        <v>1.0132662668675601</v>
      </c>
      <c r="E16" s="2">
        <v>8.8589734212991704</v>
      </c>
      <c r="F16" s="1">
        <v>22.5</v>
      </c>
      <c r="G16" s="2">
        <v>8.2876476645719404</v>
      </c>
      <c r="H16" s="1">
        <v>1</v>
      </c>
      <c r="I16" s="1">
        <v>0.98499999999999999</v>
      </c>
      <c r="J16" s="1">
        <v>24</v>
      </c>
      <c r="K16" s="1">
        <v>9</v>
      </c>
      <c r="L16" s="1">
        <v>0.34371256705005199</v>
      </c>
      <c r="M16" s="1">
        <v>12</v>
      </c>
      <c r="N16" s="1">
        <v>0.26091615322796602</v>
      </c>
      <c r="O16" s="1">
        <v>0.82364814092872096</v>
      </c>
      <c r="P16" s="1">
        <v>5.4725757083200599E-2</v>
      </c>
    </row>
    <row r="17" spans="1:16" x14ac:dyDescent="0.25">
      <c r="A17" s="1" t="s">
        <v>10</v>
      </c>
      <c r="B17" s="1">
        <v>100</v>
      </c>
      <c r="C17" s="1">
        <v>337.5</v>
      </c>
      <c r="D17" s="2">
        <v>2.0410999994711299</v>
      </c>
      <c r="E17" s="2">
        <v>6.3030026661699496</v>
      </c>
      <c r="F17" s="1">
        <v>337.5</v>
      </c>
      <c r="G17" s="2">
        <v>10.6216166455986</v>
      </c>
      <c r="H17" s="1">
        <v>1</v>
      </c>
      <c r="I17" s="1">
        <v>0.98499999999999999</v>
      </c>
      <c r="J17" s="1">
        <v>24</v>
      </c>
      <c r="K17" s="1">
        <v>9</v>
      </c>
      <c r="L17" s="1">
        <v>1.3224965873438801</v>
      </c>
      <c r="M17" s="1">
        <v>29</v>
      </c>
      <c r="N17" s="1">
        <v>0.63054737030091901</v>
      </c>
      <c r="O17" s="1">
        <v>1.12947329402203</v>
      </c>
      <c r="P17" s="1">
        <v>0.204320145381439</v>
      </c>
    </row>
    <row r="18" spans="1:16" x14ac:dyDescent="0.25">
      <c r="A18" s="1" t="s">
        <v>10</v>
      </c>
      <c r="B18" s="1">
        <v>1000</v>
      </c>
      <c r="C18" s="1">
        <v>337.5</v>
      </c>
      <c r="D18" s="2">
        <v>2.3862391292118201</v>
      </c>
      <c r="E18" s="2">
        <v>6.6857343408013499</v>
      </c>
      <c r="F18" s="1">
        <v>337.5</v>
      </c>
      <c r="G18" s="2">
        <v>12.0236874432207</v>
      </c>
      <c r="H18" s="1">
        <v>1</v>
      </c>
      <c r="I18" s="1">
        <v>0.98499999999999999</v>
      </c>
      <c r="J18" s="1">
        <v>24</v>
      </c>
      <c r="K18" s="1">
        <v>9</v>
      </c>
      <c r="L18" s="1">
        <v>1.3224965873438801</v>
      </c>
      <c r="M18" s="1">
        <v>29</v>
      </c>
      <c r="N18" s="1">
        <v>0.63054737030091901</v>
      </c>
      <c r="O18" s="1">
        <v>1.12947329402203</v>
      </c>
      <c r="P18" s="1">
        <v>0.204320145381439</v>
      </c>
    </row>
    <row r="19" spans="1:16" x14ac:dyDescent="0.25">
      <c r="A19" s="1" t="s">
        <v>10</v>
      </c>
      <c r="B19" s="1">
        <v>10000</v>
      </c>
      <c r="C19" s="1">
        <v>337.5</v>
      </c>
      <c r="D19" s="2">
        <v>2.7166059951377899</v>
      </c>
      <c r="E19" s="2">
        <v>7.0738356971752197</v>
      </c>
      <c r="F19" s="1">
        <v>337.5</v>
      </c>
      <c r="G19" s="2">
        <v>13.3721660905244</v>
      </c>
      <c r="H19" s="1">
        <v>1</v>
      </c>
      <c r="I19" s="1">
        <v>0.98499999999999999</v>
      </c>
      <c r="J19" s="1">
        <v>24</v>
      </c>
      <c r="K19" s="1">
        <v>9</v>
      </c>
      <c r="L19" s="1">
        <v>1.3224965873438801</v>
      </c>
      <c r="M19" s="1">
        <v>29</v>
      </c>
      <c r="N19" s="1">
        <v>0.63054737030091901</v>
      </c>
      <c r="O19" s="1">
        <v>1.12947329402203</v>
      </c>
      <c r="P19" s="1">
        <v>0.204320145381439</v>
      </c>
    </row>
    <row r="20" spans="1:16" x14ac:dyDescent="0.25">
      <c r="A20" s="1" t="s">
        <v>7</v>
      </c>
      <c r="B20" s="1">
        <v>100</v>
      </c>
      <c r="C20" s="1">
        <v>315</v>
      </c>
      <c r="D20" s="2">
        <v>2.0218299036076299</v>
      </c>
      <c r="E20" s="2">
        <v>6.4887158551487003</v>
      </c>
      <c r="F20" s="1">
        <v>315</v>
      </c>
      <c r="G20" s="2">
        <v>12.6950004907509</v>
      </c>
      <c r="H20" s="1">
        <v>1</v>
      </c>
      <c r="I20" s="1">
        <v>0.98499999999999999</v>
      </c>
      <c r="J20" s="1">
        <v>24</v>
      </c>
      <c r="K20" s="1">
        <v>9</v>
      </c>
      <c r="L20" s="1">
        <v>1.2986975578959099</v>
      </c>
      <c r="M20" s="1">
        <v>63</v>
      </c>
      <c r="N20" s="1">
        <v>1.3698098044468201</v>
      </c>
      <c r="O20" s="1">
        <v>1.1728620276970201</v>
      </c>
      <c r="P20" s="1">
        <v>0.18604919419115301</v>
      </c>
    </row>
    <row r="21" spans="1:16" x14ac:dyDescent="0.25">
      <c r="A21" s="1" t="s">
        <v>7</v>
      </c>
      <c r="B21" s="1">
        <v>1000</v>
      </c>
      <c r="C21" s="1">
        <v>315</v>
      </c>
      <c r="D21" s="2">
        <v>2.30268545431634</v>
      </c>
      <c r="E21" s="2">
        <v>6.9661874585774601</v>
      </c>
      <c r="F21" s="1">
        <v>315</v>
      </c>
      <c r="G21" s="2">
        <v>14.231160922149501</v>
      </c>
      <c r="H21" s="1">
        <v>1</v>
      </c>
      <c r="I21" s="1">
        <v>0.98499999999999999</v>
      </c>
      <c r="J21" s="1">
        <v>24</v>
      </c>
      <c r="K21" s="1">
        <v>9</v>
      </c>
      <c r="L21" s="1">
        <v>1.2986975578959099</v>
      </c>
      <c r="M21" s="1">
        <v>63</v>
      </c>
      <c r="N21" s="1">
        <v>1.3698098044468201</v>
      </c>
      <c r="O21" s="1">
        <v>1.1728620276970201</v>
      </c>
      <c r="P21" s="1">
        <v>0.18604919419115301</v>
      </c>
    </row>
    <row r="22" spans="1:16" x14ac:dyDescent="0.25">
      <c r="A22" s="1" t="s">
        <v>7</v>
      </c>
      <c r="B22" s="1">
        <v>10000</v>
      </c>
      <c r="C22" s="1">
        <v>315</v>
      </c>
      <c r="D22" s="2">
        <v>2.5699198424609002</v>
      </c>
      <c r="E22" s="2">
        <v>7.4530842155197599</v>
      </c>
      <c r="F22" s="1">
        <v>315</v>
      </c>
      <c r="G22" s="2">
        <v>15.7449021558413</v>
      </c>
      <c r="H22" s="1">
        <v>1</v>
      </c>
      <c r="I22" s="1">
        <v>0.98499999999999999</v>
      </c>
      <c r="J22" s="1">
        <v>24</v>
      </c>
      <c r="K22" s="1">
        <v>9</v>
      </c>
      <c r="L22" s="1">
        <v>1.2986975578959099</v>
      </c>
      <c r="M22" s="1">
        <v>63</v>
      </c>
      <c r="N22" s="1">
        <v>1.3698098044468201</v>
      </c>
      <c r="O22" s="1">
        <v>1.1728620276970201</v>
      </c>
      <c r="P22" s="1">
        <v>0.18604919419115301</v>
      </c>
    </row>
    <row r="23" spans="1:16" x14ac:dyDescent="0.25">
      <c r="A23" s="1" t="s">
        <v>8</v>
      </c>
      <c r="B23" s="1">
        <v>100</v>
      </c>
      <c r="C23" s="1">
        <v>270</v>
      </c>
      <c r="D23" s="2">
        <v>1.7458612118588099</v>
      </c>
      <c r="E23" s="2">
        <v>5.6623140244890999</v>
      </c>
      <c r="F23" s="1">
        <v>270</v>
      </c>
      <c r="G23" s="2">
        <v>12.7787546266352</v>
      </c>
      <c r="H23" s="1">
        <v>1</v>
      </c>
      <c r="I23" s="1">
        <v>0.98499999999999999</v>
      </c>
      <c r="J23" s="1">
        <v>24</v>
      </c>
      <c r="K23" s="1">
        <v>9</v>
      </c>
      <c r="L23" s="1">
        <v>1.0058229573377999</v>
      </c>
      <c r="M23" s="1">
        <v>54</v>
      </c>
      <c r="N23" s="1">
        <v>1.1741226895258501</v>
      </c>
      <c r="O23" s="1">
        <v>0.92855456830869298</v>
      </c>
      <c r="P23" s="1">
        <v>0.137861970908845</v>
      </c>
    </row>
    <row r="24" spans="1:16" x14ac:dyDescent="0.25">
      <c r="A24" s="1" t="s">
        <v>8</v>
      </c>
      <c r="B24" s="1">
        <v>1000</v>
      </c>
      <c r="C24" s="1">
        <v>270</v>
      </c>
      <c r="D24" s="2">
        <v>2.13841454268591</v>
      </c>
      <c r="E24" s="2">
        <v>6.2289672842734296</v>
      </c>
      <c r="F24" s="1">
        <v>270</v>
      </c>
      <c r="G24" s="2">
        <v>14.1629916087398</v>
      </c>
      <c r="H24" s="1">
        <v>1</v>
      </c>
      <c r="I24" s="1">
        <v>0.98499999999999999</v>
      </c>
      <c r="J24" s="1">
        <v>24</v>
      </c>
      <c r="K24" s="1">
        <v>9</v>
      </c>
      <c r="L24" s="1">
        <v>1.0058229573377999</v>
      </c>
      <c r="M24" s="1">
        <v>54</v>
      </c>
      <c r="N24" s="1">
        <v>1.1741226895258501</v>
      </c>
      <c r="O24" s="1">
        <v>0.92855456830869298</v>
      </c>
      <c r="P24" s="1">
        <v>0.137861970908845</v>
      </c>
    </row>
    <row r="25" spans="1:16" x14ac:dyDescent="0.25">
      <c r="A25" s="1" t="s">
        <v>8</v>
      </c>
      <c r="B25" s="1">
        <v>10000</v>
      </c>
      <c r="C25" s="1">
        <v>270</v>
      </c>
      <c r="D25" s="2">
        <v>2.54041444283266</v>
      </c>
      <c r="E25" s="2">
        <v>6.8680737113752901</v>
      </c>
      <c r="F25" s="1">
        <v>270</v>
      </c>
      <c r="G25" s="2">
        <v>15.5080835788418</v>
      </c>
      <c r="H25" s="1">
        <v>1</v>
      </c>
      <c r="I25" s="1">
        <v>0.98499999999999999</v>
      </c>
      <c r="J25" s="1">
        <v>24</v>
      </c>
      <c r="K25" s="1">
        <v>9</v>
      </c>
      <c r="L25" s="1">
        <v>1.0058229573377999</v>
      </c>
      <c r="M25" s="1">
        <v>54</v>
      </c>
      <c r="N25" s="1">
        <v>1.1741226895258501</v>
      </c>
      <c r="O25" s="1">
        <v>0.92855456830869298</v>
      </c>
      <c r="P25" s="1">
        <v>0.137861970908845</v>
      </c>
    </row>
    <row r="26" spans="1:16" x14ac:dyDescent="0.25">
      <c r="A26" s="1" t="s">
        <v>9</v>
      </c>
      <c r="B26" s="1">
        <v>100</v>
      </c>
      <c r="C26" s="1">
        <v>292.5</v>
      </c>
      <c r="D26" s="2">
        <v>1.6404423576245699</v>
      </c>
      <c r="E26" s="2">
        <v>5.7470315016251803</v>
      </c>
      <c r="F26" s="1">
        <v>292.5</v>
      </c>
      <c r="G26" s="2">
        <v>12.474010458558499</v>
      </c>
      <c r="H26" s="1">
        <v>1</v>
      </c>
      <c r="I26" s="1">
        <v>0.98499999999999999</v>
      </c>
      <c r="J26" s="1">
        <v>24</v>
      </c>
      <c r="K26" s="1">
        <v>9</v>
      </c>
      <c r="L26" s="1">
        <v>1.0487816200153</v>
      </c>
      <c r="M26" s="1">
        <v>48</v>
      </c>
      <c r="N26" s="1">
        <v>1.0436646129118601</v>
      </c>
      <c r="O26" s="1">
        <v>1.0391096582480099</v>
      </c>
      <c r="P26" s="1">
        <v>0.13501466569331499</v>
      </c>
    </row>
    <row r="27" spans="1:16" x14ac:dyDescent="0.25">
      <c r="A27" s="1" t="s">
        <v>9</v>
      </c>
      <c r="B27" s="1">
        <v>1000</v>
      </c>
      <c r="C27" s="1">
        <v>292.5</v>
      </c>
      <c r="D27" s="2">
        <v>1.92109996300762</v>
      </c>
      <c r="E27" s="2">
        <v>6.2396436469049101</v>
      </c>
      <c r="F27" s="1">
        <v>292.5</v>
      </c>
      <c r="G27" s="2">
        <v>13.7864186054701</v>
      </c>
      <c r="H27" s="1">
        <v>1</v>
      </c>
      <c r="I27" s="1">
        <v>0.98499999999999999</v>
      </c>
      <c r="J27" s="1">
        <v>24</v>
      </c>
      <c r="K27" s="1">
        <v>9</v>
      </c>
      <c r="L27" s="1">
        <v>1.0487816200153</v>
      </c>
      <c r="M27" s="1">
        <v>48</v>
      </c>
      <c r="N27" s="1">
        <v>1.0436646129118601</v>
      </c>
      <c r="O27" s="1">
        <v>1.0391096582480099</v>
      </c>
      <c r="P27" s="1">
        <v>0.13501466569331499</v>
      </c>
    </row>
    <row r="28" spans="1:16" x14ac:dyDescent="0.25">
      <c r="A28" s="1" t="s">
        <v>9</v>
      </c>
      <c r="B28" s="1">
        <v>10000</v>
      </c>
      <c r="C28" s="1">
        <v>292.5</v>
      </c>
      <c r="D28" s="2">
        <v>2.19771852809914</v>
      </c>
      <c r="E28" s="2">
        <v>6.7664673837090197</v>
      </c>
      <c r="F28" s="1">
        <v>292.5</v>
      </c>
      <c r="G28" s="2">
        <v>15.0671019861008</v>
      </c>
      <c r="H28" s="1">
        <v>1</v>
      </c>
      <c r="I28" s="1">
        <v>0.98499999999999999</v>
      </c>
      <c r="J28" s="1">
        <v>24</v>
      </c>
      <c r="K28" s="1">
        <v>9</v>
      </c>
      <c r="L28" s="1">
        <v>1.0487816200153</v>
      </c>
      <c r="M28" s="1">
        <v>48</v>
      </c>
      <c r="N28" s="1">
        <v>1.0436646129118601</v>
      </c>
      <c r="O28" s="1">
        <v>1.0391096582480099</v>
      </c>
      <c r="P28" s="1">
        <v>0.13501466569331499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A1E0-71B6-4CB1-9F4F-5CADD8A64885}">
  <sheetPr>
    <tabColor rgb="FFFF0000"/>
  </sheetPr>
  <dimension ref="A1:M31"/>
  <sheetViews>
    <sheetView topLeftCell="A4" workbookViewId="0">
      <selection activeCell="M24" sqref="M24"/>
    </sheetView>
  </sheetViews>
  <sheetFormatPr defaultRowHeight="15" x14ac:dyDescent="0.25"/>
  <cols>
    <col min="1" max="1" width="10.7109375" bestFit="1" customWidth="1"/>
    <col min="2" max="3" width="12" bestFit="1" customWidth="1"/>
    <col min="5" max="5" width="25.7109375" bestFit="1" customWidth="1"/>
    <col min="7" max="7" width="12" bestFit="1" customWidth="1"/>
  </cols>
  <sheetData>
    <row r="1" spans="1:11" x14ac:dyDescent="0.25">
      <c r="A1" s="9" t="s">
        <v>60</v>
      </c>
      <c r="B1" s="9" t="s">
        <v>61</v>
      </c>
      <c r="C1" s="9" t="s">
        <v>62</v>
      </c>
      <c r="E1" s="60" t="s">
        <v>39</v>
      </c>
      <c r="F1" s="60"/>
      <c r="G1" s="60"/>
      <c r="H1" s="60"/>
      <c r="I1" s="60"/>
      <c r="J1" s="60"/>
      <c r="K1" s="60"/>
    </row>
    <row r="2" spans="1:11" x14ac:dyDescent="0.25">
      <c r="A2" s="10" t="s">
        <v>63</v>
      </c>
      <c r="B2" s="1">
        <v>8.3699486242713039</v>
      </c>
      <c r="C2" s="1">
        <v>35.163820711897976</v>
      </c>
      <c r="E2" s="60" t="s">
        <v>40</v>
      </c>
      <c r="F2" s="60"/>
      <c r="G2" s="60"/>
      <c r="H2" s="60"/>
      <c r="I2" s="60"/>
      <c r="J2" s="60"/>
      <c r="K2" s="60"/>
    </row>
    <row r="3" spans="1:11" x14ac:dyDescent="0.25">
      <c r="A3" s="10" t="s">
        <v>64</v>
      </c>
      <c r="B3" s="1">
        <v>9.4397695053653656</v>
      </c>
      <c r="C3" s="1">
        <v>85.358248011172165</v>
      </c>
    </row>
    <row r="4" spans="1:11" x14ac:dyDescent="0.25">
      <c r="A4" s="10" t="s">
        <v>65</v>
      </c>
      <c r="B4" s="1">
        <v>5.7247559471100393</v>
      </c>
      <c r="C4" s="1">
        <v>259.92729772672669</v>
      </c>
    </row>
    <row r="5" spans="1:11" x14ac:dyDescent="0.25">
      <c r="A5" s="10" t="s">
        <v>66</v>
      </c>
      <c r="B5" s="1">
        <v>2.7026292877519293</v>
      </c>
      <c r="C5" s="1">
        <v>8.455099738821831</v>
      </c>
    </row>
    <row r="6" spans="1:11" x14ac:dyDescent="0.25">
      <c r="A6" s="10" t="s">
        <v>67</v>
      </c>
      <c r="B6" s="1">
        <v>32.229711505794796</v>
      </c>
      <c r="C6" s="1">
        <v>23.194856555146256</v>
      </c>
    </row>
    <row r="7" spans="1:11" x14ac:dyDescent="0.25">
      <c r="A7" s="10" t="s">
        <v>68</v>
      </c>
      <c r="B7" s="1">
        <v>17.63554688356335</v>
      </c>
      <c r="C7" s="1">
        <v>328.09807187462906</v>
      </c>
    </row>
    <row r="8" spans="1:11" x14ac:dyDescent="0.25">
      <c r="A8" s="10" t="s">
        <v>69</v>
      </c>
      <c r="B8" s="1">
        <v>7.5670599476867766</v>
      </c>
      <c r="C8" s="1">
        <v>58.044825988403623</v>
      </c>
    </row>
    <row r="9" spans="1:11" x14ac:dyDescent="0.25">
      <c r="A9" s="10" t="s">
        <v>70</v>
      </c>
      <c r="B9" s="1">
        <v>0.8218531912291126</v>
      </c>
      <c r="C9" s="1">
        <v>315.95124674538664</v>
      </c>
    </row>
    <row r="10" spans="1:11" x14ac:dyDescent="0.25">
      <c r="A10" s="10" t="s">
        <v>71</v>
      </c>
      <c r="B10" s="1">
        <v>0.357770585663086</v>
      </c>
      <c r="C10" s="1">
        <v>19.310609024847928</v>
      </c>
    </row>
    <row r="12" spans="1:11" x14ac:dyDescent="0.25">
      <c r="A12" t="s">
        <v>41</v>
      </c>
      <c r="B12">
        <v>182.27101578756501</v>
      </c>
    </row>
    <row r="16" spans="1:11" x14ac:dyDescent="0.25">
      <c r="D16" s="1" t="s">
        <v>42</v>
      </c>
      <c r="E16" s="1" t="s">
        <v>43</v>
      </c>
      <c r="F16" s="1" t="s">
        <v>44</v>
      </c>
      <c r="G16" s="1">
        <f>G20+SUM(B2:B10)</f>
        <v>267.12006126600079</v>
      </c>
    </row>
    <row r="17" spans="4:13" x14ac:dyDescent="0.25">
      <c r="D17" s="1" t="s">
        <v>45</v>
      </c>
      <c r="E17" s="1" t="s">
        <v>46</v>
      </c>
      <c r="F17" s="1" t="s">
        <v>44</v>
      </c>
      <c r="G17" s="1">
        <f>G20+B2+B3+B4+B6+B7+B8</f>
        <v>263.23780820135664</v>
      </c>
    </row>
    <row r="18" spans="4:13" x14ac:dyDescent="0.25">
      <c r="D18" s="1" t="s">
        <v>47</v>
      </c>
      <c r="E18" s="1" t="s">
        <v>48</v>
      </c>
      <c r="F18" s="1" t="s">
        <v>44</v>
      </c>
      <c r="G18" s="1">
        <f>G20+B2+B3</f>
        <v>200.08073391720168</v>
      </c>
    </row>
    <row r="19" spans="4:13" x14ac:dyDescent="0.25">
      <c r="D19" s="1" t="s">
        <v>49</v>
      </c>
      <c r="E19" s="1" t="s">
        <v>50</v>
      </c>
      <c r="F19" s="1" t="s">
        <v>44</v>
      </c>
      <c r="G19" s="1">
        <f>G20+B2+B6+B7</f>
        <v>240.50622280119444</v>
      </c>
    </row>
    <row r="20" spans="4:13" x14ac:dyDescent="0.25">
      <c r="D20" s="8" t="s">
        <v>41</v>
      </c>
      <c r="E20" s="8" t="s">
        <v>51</v>
      </c>
      <c r="F20" s="8" t="s">
        <v>44</v>
      </c>
      <c r="G20" s="8">
        <f>B12</f>
        <v>182.27101578756501</v>
      </c>
    </row>
    <row r="21" spans="4:13" x14ac:dyDescent="0.25">
      <c r="D21" s="1" t="s">
        <v>52</v>
      </c>
      <c r="E21" s="1" t="s">
        <v>53</v>
      </c>
      <c r="F21" s="1" t="s">
        <v>44</v>
      </c>
      <c r="G21" s="1">
        <f>G20-(B2+B6+B7)</f>
        <v>124.03580877393556</v>
      </c>
    </row>
    <row r="22" spans="4:13" x14ac:dyDescent="0.25">
      <c r="D22" s="1" t="s">
        <v>54</v>
      </c>
      <c r="E22" s="1" t="s">
        <v>55</v>
      </c>
      <c r="F22" s="1" t="s">
        <v>44</v>
      </c>
      <c r="G22" s="1">
        <f>G20-(B2+B3)</f>
        <v>164.46129765792833</v>
      </c>
    </row>
    <row r="23" spans="4:13" x14ac:dyDescent="0.25">
      <c r="D23" s="1" t="s">
        <v>56</v>
      </c>
      <c r="E23" s="1" t="s">
        <v>57</v>
      </c>
      <c r="F23" s="1" t="s">
        <v>44</v>
      </c>
      <c r="G23" s="1">
        <f>G20-(B2+B3+B4+B6+B7+B8)</f>
        <v>101.30422337377337</v>
      </c>
    </row>
    <row r="24" spans="4:13" x14ac:dyDescent="0.25">
      <c r="D24" s="1" t="s">
        <v>58</v>
      </c>
      <c r="E24" s="1" t="s">
        <v>59</v>
      </c>
      <c r="F24" s="1" t="s">
        <v>44</v>
      </c>
      <c r="G24" s="1">
        <f>G20-SUM(B2:B10)</f>
        <v>97.42197030912925</v>
      </c>
    </row>
    <row r="28" spans="4:13" x14ac:dyDescent="0.25">
      <c r="L28" s="61"/>
      <c r="M28" s="61"/>
    </row>
    <row r="29" spans="4:13" x14ac:dyDescent="0.25">
      <c r="L29" s="1"/>
      <c r="M29" s="1"/>
    </row>
    <row r="30" spans="4:13" x14ac:dyDescent="0.25">
      <c r="L30" s="1"/>
      <c r="M30" s="1"/>
    </row>
    <row r="31" spans="4:13" x14ac:dyDescent="0.25">
      <c r="L31" s="1"/>
      <c r="M31" s="1"/>
    </row>
  </sheetData>
  <mergeCells count="3">
    <mergeCell ref="E1:K1"/>
    <mergeCell ref="E2:K2"/>
    <mergeCell ref="L28:M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Chesklist</vt:lpstr>
      <vt:lpstr>Datum_Sunda_Kelapa_Summary</vt:lpstr>
      <vt:lpstr>Sheet1</vt:lpstr>
      <vt:lpstr>Weibull</vt:lpstr>
      <vt:lpstr>wind_conditioned_on_wave_design</vt:lpstr>
      <vt:lpstr>Tidal_Datum_Eng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2026-02-02T07:47:42Z</dcterms:created>
  <dcterms:modified xsi:type="dcterms:W3CDTF">2026-03-10T09:03:53Z</dcterms:modified>
</cp:coreProperties>
</file>